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ojann/Downloads/"/>
    </mc:Choice>
  </mc:AlternateContent>
  <xr:revisionPtr revIDLastSave="0" documentId="13_ncr:1_{8D60070B-E83B-E349-A17A-157B879FCA1C}" xr6:coauthVersionLast="47" xr6:coauthVersionMax="47" xr10:uidLastSave="{00000000-0000-0000-0000-000000000000}"/>
  <bookViews>
    <workbookView xWindow="0" yWindow="500" windowWidth="38400" windowHeight="20060" tabRatio="850" xr2:uid="{00000000-000D-0000-FFFF-FFFF00000000}"/>
  </bookViews>
  <sheets>
    <sheet name="Intro" sheetId="11" r:id="rId1"/>
    <sheet name="Ques 1" sheetId="1" r:id="rId2"/>
    <sheet name="Ques 2" sheetId="2" r:id="rId3"/>
    <sheet name="Ques 3" sheetId="3" r:id="rId4"/>
    <sheet name="Ques 4" sheetId="4" r:id="rId5"/>
    <sheet name="Ques 5" sheetId="5" r:id="rId6"/>
    <sheet name="Ques 6" sheetId="6" r:id="rId7"/>
    <sheet name="Ques 7" sheetId="7" r:id="rId8"/>
    <sheet name="Ques 8" sheetId="8" r:id="rId9"/>
    <sheet name="Sheet3" sheetId="15" state="hidden" r:id="rId10"/>
    <sheet name="Sheet4" sheetId="16" state="hidden" r:id="rId11"/>
    <sheet name="Ques 9" sheetId="9" r:id="rId12"/>
    <sheet name="Sheet2" sheetId="14" state="hidden" r:id="rId13"/>
    <sheet name="Sheet1" sheetId="13" state="hidden" r:id="rId14"/>
    <sheet name="Ques 10" sheetId="10" r:id="rId15"/>
    <sheet name="Data" sheetId="12" r:id="rId16"/>
  </sheets>
  <definedNames>
    <definedName name="_xlnm._FilterDatabase" localSheetId="15" hidden="1">Data!$A$1:$I$400</definedName>
    <definedName name="_xlnm._FilterDatabase" localSheetId="1" hidden="1">'Ques 1'!$E$7:$K$27</definedName>
    <definedName name="_xlnm._FilterDatabase" localSheetId="2" hidden="1">'Ques 2'!$E$11:$J$31</definedName>
    <definedName name="_xlnm._FilterDatabase" localSheetId="3" hidden="1">'Ques 3'!$B$10:$F$88</definedName>
    <definedName name="_xlnm._FilterDatabase" localSheetId="4" hidden="1">'Ques 4'!$C$13:$G$91</definedName>
    <definedName name="_xlnm._FilterDatabase" localSheetId="5" hidden="1">'Ques 5'!$C$13:$P$28</definedName>
    <definedName name="_xlnm._FilterDatabase" localSheetId="7" hidden="1">'Ques 7'!$C$11:$H$70</definedName>
    <definedName name="Animal">'Ques 6'!$M$24:$M$25</definedName>
    <definedName name="Food">'Ques 6'!$M$26:$M$27</definedName>
    <definedName name="months">Data!$L$2:$L$13</definedName>
  </definedNames>
  <calcPr calcId="191029"/>
  <pivotCaches>
    <pivotCache cacheId="8" r:id="rId17"/>
    <pivotCache cacheId="9" r:id="rId18"/>
    <pivotCache cacheId="10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7" l="1"/>
  <c r="O22" i="5"/>
  <c r="D15" i="5"/>
  <c r="E15" i="5"/>
  <c r="F15" i="5"/>
  <c r="G15" i="5"/>
  <c r="H15" i="5"/>
  <c r="I15" i="5"/>
  <c r="J15" i="5"/>
  <c r="K15" i="5"/>
  <c r="L15" i="5"/>
  <c r="M15" i="5"/>
  <c r="N15" i="5"/>
  <c r="O15" i="5"/>
  <c r="D16" i="5"/>
  <c r="E16" i="5"/>
  <c r="F16" i="5"/>
  <c r="G16" i="5"/>
  <c r="H16" i="5"/>
  <c r="I16" i="5"/>
  <c r="J16" i="5"/>
  <c r="K16" i="5"/>
  <c r="L16" i="5"/>
  <c r="M16" i="5"/>
  <c r="N16" i="5"/>
  <c r="O16" i="5"/>
  <c r="D17" i="5"/>
  <c r="E17" i="5"/>
  <c r="F17" i="5"/>
  <c r="G17" i="5"/>
  <c r="H17" i="5"/>
  <c r="I17" i="5"/>
  <c r="J17" i="5"/>
  <c r="K17" i="5"/>
  <c r="L17" i="5"/>
  <c r="M17" i="5"/>
  <c r="N17" i="5"/>
  <c r="O17" i="5"/>
  <c r="D18" i="5"/>
  <c r="E18" i="5"/>
  <c r="F18" i="5"/>
  <c r="G18" i="5"/>
  <c r="H18" i="5"/>
  <c r="I18" i="5"/>
  <c r="J18" i="5"/>
  <c r="K18" i="5"/>
  <c r="L18" i="5"/>
  <c r="M18" i="5"/>
  <c r="N18" i="5"/>
  <c r="O18" i="5"/>
  <c r="D19" i="5"/>
  <c r="E19" i="5"/>
  <c r="F19" i="5"/>
  <c r="G19" i="5"/>
  <c r="H19" i="5"/>
  <c r="I19" i="5"/>
  <c r="J19" i="5"/>
  <c r="K19" i="5"/>
  <c r="L19" i="5"/>
  <c r="M19" i="5"/>
  <c r="N19" i="5"/>
  <c r="O19" i="5"/>
  <c r="D20" i="5"/>
  <c r="E20" i="5"/>
  <c r="F20" i="5"/>
  <c r="G20" i="5"/>
  <c r="H20" i="5"/>
  <c r="I20" i="5"/>
  <c r="J20" i="5"/>
  <c r="K20" i="5"/>
  <c r="L20" i="5"/>
  <c r="M20" i="5"/>
  <c r="N20" i="5"/>
  <c r="O20" i="5"/>
  <c r="D21" i="5"/>
  <c r="E21" i="5"/>
  <c r="F21" i="5"/>
  <c r="G21" i="5"/>
  <c r="H21" i="5"/>
  <c r="I21" i="5"/>
  <c r="J21" i="5"/>
  <c r="K21" i="5"/>
  <c r="L21" i="5"/>
  <c r="M21" i="5"/>
  <c r="N21" i="5"/>
  <c r="O21" i="5"/>
  <c r="D22" i="5"/>
  <c r="E22" i="5"/>
  <c r="F22" i="5"/>
  <c r="G22" i="5"/>
  <c r="H22" i="5"/>
  <c r="I22" i="5"/>
  <c r="J22" i="5"/>
  <c r="K22" i="5"/>
  <c r="L22" i="5"/>
  <c r="M22" i="5"/>
  <c r="N22" i="5"/>
  <c r="D23" i="5"/>
  <c r="E23" i="5"/>
  <c r="F23" i="5"/>
  <c r="G23" i="5"/>
  <c r="H23" i="5"/>
  <c r="I23" i="5"/>
  <c r="J23" i="5"/>
  <c r="K23" i="5"/>
  <c r="L23" i="5"/>
  <c r="M23" i="5"/>
  <c r="N23" i="5"/>
  <c r="O23" i="5"/>
  <c r="D24" i="5"/>
  <c r="E24" i="5"/>
  <c r="F24" i="5"/>
  <c r="G24" i="5"/>
  <c r="H24" i="5"/>
  <c r="I24" i="5"/>
  <c r="J24" i="5"/>
  <c r="K24" i="5"/>
  <c r="L24" i="5"/>
  <c r="M24" i="5"/>
  <c r="N24" i="5"/>
  <c r="O24" i="5"/>
  <c r="D25" i="5"/>
  <c r="E25" i="5"/>
  <c r="F25" i="5"/>
  <c r="G25" i="5"/>
  <c r="H25" i="5"/>
  <c r="I25" i="5"/>
  <c r="J25" i="5"/>
  <c r="K25" i="5"/>
  <c r="L25" i="5"/>
  <c r="M25" i="5"/>
  <c r="N25" i="5"/>
  <c r="O25" i="5"/>
  <c r="D26" i="5"/>
  <c r="E26" i="5"/>
  <c r="F26" i="5"/>
  <c r="G26" i="5"/>
  <c r="H26" i="5"/>
  <c r="I26" i="5"/>
  <c r="J26" i="5"/>
  <c r="K26" i="5"/>
  <c r="L26" i="5"/>
  <c r="M26" i="5"/>
  <c r="N26" i="5"/>
  <c r="O26" i="5"/>
  <c r="D27" i="5"/>
  <c r="E27" i="5"/>
  <c r="F27" i="5"/>
  <c r="G27" i="5"/>
  <c r="H27" i="5"/>
  <c r="I27" i="5"/>
  <c r="J27" i="5"/>
  <c r="K27" i="5"/>
  <c r="L27" i="5"/>
  <c r="M27" i="5"/>
  <c r="N27" i="5"/>
  <c r="O27" i="5"/>
  <c r="D28" i="5"/>
  <c r="E28" i="5"/>
  <c r="F28" i="5"/>
  <c r="G28" i="5"/>
  <c r="H28" i="5"/>
  <c r="I28" i="5"/>
  <c r="J28" i="5"/>
  <c r="K28" i="5"/>
  <c r="L28" i="5"/>
  <c r="M28" i="5"/>
  <c r="N28" i="5"/>
  <c r="O28" i="5"/>
  <c r="E14" i="5"/>
  <c r="F14" i="5"/>
  <c r="G14" i="5"/>
  <c r="H14" i="5"/>
  <c r="I14" i="5"/>
  <c r="J14" i="5"/>
  <c r="K14" i="5"/>
  <c r="L14" i="5"/>
  <c r="M14" i="5"/>
  <c r="N14" i="5"/>
  <c r="O14" i="5"/>
  <c r="D14" i="5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13" i="3"/>
  <c r="J14" i="3"/>
  <c r="J15" i="3"/>
  <c r="J16" i="3"/>
  <c r="J17" i="3"/>
  <c r="J18" i="3"/>
  <c r="J19" i="3"/>
  <c r="J20" i="3"/>
  <c r="J21" i="3"/>
  <c r="J22" i="3"/>
  <c r="J23" i="3"/>
  <c r="J12" i="3"/>
  <c r="M11" i="3"/>
  <c r="L11" i="3"/>
  <c r="K11" i="3"/>
  <c r="J11" i="3"/>
  <c r="F11" i="8"/>
  <c r="H12" i="8"/>
  <c r="H13" i="8"/>
  <c r="H14" i="8"/>
  <c r="H15" i="8"/>
  <c r="H11" i="8"/>
  <c r="I12" i="8"/>
  <c r="I13" i="8"/>
  <c r="I14" i="8"/>
  <c r="I15" i="8"/>
  <c r="I11" i="8"/>
  <c r="G12" i="8"/>
  <c r="G13" i="8"/>
  <c r="G14" i="8"/>
  <c r="G15" i="8"/>
  <c r="F12" i="8"/>
  <c r="F13" i="8"/>
  <c r="F14" i="8"/>
  <c r="F15" i="8"/>
  <c r="G11" i="8"/>
  <c r="F9" i="8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H12" i="7"/>
  <c r="I5" i="7"/>
  <c r="H5" i="7"/>
  <c r="G5" i="7"/>
  <c r="F5" i="7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12" i="2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8" i="1"/>
  <c r="P26" i="5" l="1"/>
  <c r="P27" i="5"/>
  <c r="P25" i="5"/>
  <c r="P23" i="5"/>
  <c r="P21" i="5"/>
  <c r="P19" i="5"/>
  <c r="P17" i="5"/>
  <c r="P15" i="5"/>
  <c r="P24" i="5"/>
  <c r="P22" i="5"/>
  <c r="P20" i="5"/>
  <c r="P18" i="5"/>
  <c r="P16" i="5"/>
  <c r="P14" i="5"/>
  <c r="P28" i="5"/>
</calcChain>
</file>

<file path=xl/sharedStrings.xml><?xml version="1.0" encoding="utf-8"?>
<sst xmlns="http://schemas.openxmlformats.org/spreadsheetml/2006/main" count="1410" uniqueCount="184">
  <si>
    <t>Name</t>
  </si>
  <si>
    <t>Ques. 1</t>
  </si>
  <si>
    <t>#</t>
  </si>
  <si>
    <t>Product</t>
  </si>
  <si>
    <t>Area</t>
  </si>
  <si>
    <t>Sales Volume</t>
  </si>
  <si>
    <t>Comm%</t>
  </si>
  <si>
    <t>Aman Kumar</t>
  </si>
  <si>
    <t>Horlicks</t>
  </si>
  <si>
    <t>North</t>
  </si>
  <si>
    <t>Aradhana</t>
  </si>
  <si>
    <t>Maggi</t>
  </si>
  <si>
    <t>Bani</t>
  </si>
  <si>
    <t>East</t>
  </si>
  <si>
    <t>Kavita</t>
  </si>
  <si>
    <t>Munch</t>
  </si>
  <si>
    <t>South</t>
  </si>
  <si>
    <t>Kuwar</t>
  </si>
  <si>
    <t>Manav</t>
  </si>
  <si>
    <t>Boost</t>
  </si>
  <si>
    <t>Mayank</t>
  </si>
  <si>
    <t>Monica Arora</t>
  </si>
  <si>
    <t>Prashant</t>
  </si>
  <si>
    <t>Raj</t>
  </si>
  <si>
    <t>RAJ</t>
  </si>
  <si>
    <t>Sakshi</t>
  </si>
  <si>
    <t>West</t>
  </si>
  <si>
    <t>Sameer Rathore</t>
  </si>
  <si>
    <t>Savita Sharma</t>
  </si>
  <si>
    <t>Shravan</t>
  </si>
  <si>
    <t>Shruti</t>
  </si>
  <si>
    <t>Sidhartha Soni</t>
  </si>
  <si>
    <t>Veenu Verma</t>
  </si>
  <si>
    <t>Vidur</t>
  </si>
  <si>
    <t>Duration : 1 Hour</t>
  </si>
  <si>
    <t>Commission</t>
  </si>
  <si>
    <t>Note:- 1. Please solve each question on same tab.</t>
  </si>
  <si>
    <t>Position</t>
  </si>
  <si>
    <t>G1</t>
  </si>
  <si>
    <t>G2</t>
  </si>
  <si>
    <t>G3</t>
  </si>
  <si>
    <t>G4</t>
  </si>
  <si>
    <t>G5</t>
  </si>
  <si>
    <t>greater than 30000</t>
  </si>
  <si>
    <t>greater than 25,000 but less than or equal to 30,000</t>
  </si>
  <si>
    <t>greater than 20,000 but less than or equal to 25,000</t>
  </si>
  <si>
    <t>greater than 15,000 but less than or equal to 20,000</t>
  </si>
  <si>
    <t>less than or equal to 15,000</t>
  </si>
  <si>
    <t>Rating</t>
  </si>
  <si>
    <t>Use the data given below to assign ratings to all salespeople (use the most appropriate Excel function)</t>
  </si>
  <si>
    <t>Ques. 2</t>
  </si>
  <si>
    <t>Here is two Data base A and B. Fill the detail in Database B from Database A.</t>
  </si>
  <si>
    <t>Database A</t>
  </si>
  <si>
    <t>000003S6530</t>
  </si>
  <si>
    <t>000003S6540</t>
  </si>
  <si>
    <t>000003S6560</t>
  </si>
  <si>
    <t>000003S6570</t>
  </si>
  <si>
    <t>000003S6580</t>
  </si>
  <si>
    <t>000003S6595</t>
  </si>
  <si>
    <t>ID</t>
  </si>
  <si>
    <t>SWEDEN</t>
  </si>
  <si>
    <t>UK</t>
  </si>
  <si>
    <t>GERMANY</t>
  </si>
  <si>
    <t>NETHERLANDS</t>
  </si>
  <si>
    <t>DENMARK</t>
  </si>
  <si>
    <t>SPAIN</t>
  </si>
  <si>
    <t>SWITZERLAND</t>
  </si>
  <si>
    <t>HUNGARY</t>
  </si>
  <si>
    <t>NORWAY</t>
  </si>
  <si>
    <t>RUSSIA</t>
  </si>
  <si>
    <t>AUSTRIA</t>
  </si>
  <si>
    <t>IRELAND</t>
  </si>
  <si>
    <t>POLAND</t>
  </si>
  <si>
    <t>GREECE</t>
  </si>
  <si>
    <t>CZECH REP</t>
  </si>
  <si>
    <t>Country</t>
  </si>
  <si>
    <t>YEAR</t>
  </si>
  <si>
    <t>Month</t>
  </si>
  <si>
    <t>NO</t>
  </si>
  <si>
    <t>YES</t>
  </si>
  <si>
    <t>Sales</t>
  </si>
  <si>
    <t>Australia</t>
  </si>
  <si>
    <t>Database B</t>
  </si>
  <si>
    <t>Greater than 50 K less than 75K</t>
  </si>
  <si>
    <t>Greater Than equal to 75K</t>
  </si>
  <si>
    <t xml:space="preserve">Less than 50K </t>
  </si>
  <si>
    <t>Ques. 4</t>
  </si>
  <si>
    <t>Ques. 3</t>
  </si>
  <si>
    <t>Use the criteria given below for conditional formating.</t>
  </si>
  <si>
    <t>Ques. 5</t>
  </si>
  <si>
    <t>Market</t>
  </si>
  <si>
    <t>Year</t>
  </si>
  <si>
    <t>Txns</t>
  </si>
  <si>
    <t>Amount</t>
  </si>
  <si>
    <t>Yes/No</t>
  </si>
  <si>
    <t>DK</t>
  </si>
  <si>
    <t>Stat date</t>
  </si>
  <si>
    <t>End date</t>
  </si>
  <si>
    <t>Refer to Data Sheet to calculate</t>
  </si>
  <si>
    <r>
      <t xml:space="preserve">b. Calculated value should have format like </t>
    </r>
    <r>
      <rPr>
        <b/>
        <sz val="11"/>
        <color theme="1"/>
        <rFont val="Calibri"/>
        <family val="2"/>
        <scheme val="minor"/>
      </rPr>
      <t>$1.5m</t>
    </r>
  </si>
  <si>
    <t>c. If I change year in cell C9 then accordingly calculation should be change.</t>
  </si>
  <si>
    <t>Total</t>
  </si>
  <si>
    <t>a. Please create a drop down in cell E5 which should contain Months name from Jan to Dec.</t>
  </si>
  <si>
    <t>b.</t>
  </si>
  <si>
    <t>Animal</t>
  </si>
  <si>
    <t>Food</t>
  </si>
  <si>
    <t>Non Veg</t>
  </si>
  <si>
    <t>Veg</t>
  </si>
  <si>
    <t>Pet</t>
  </si>
  <si>
    <t>Wild</t>
  </si>
  <si>
    <t>Sub Category</t>
  </si>
  <si>
    <t>Ques.  6</t>
  </si>
  <si>
    <t>Ques.  7</t>
  </si>
  <si>
    <t>If I select Animal in Category then Sub Category should be Pet and Wild</t>
  </si>
  <si>
    <t>2 Marks</t>
  </si>
  <si>
    <t>5 Marks</t>
  </si>
  <si>
    <t>3 Marks</t>
  </si>
  <si>
    <t>5+1+1 Marks</t>
  </si>
  <si>
    <t>2+4 Marks</t>
  </si>
  <si>
    <t>a. Extract day Month and Year from the below date by using formula and write week number also.</t>
  </si>
  <si>
    <t>Ques.  8</t>
  </si>
  <si>
    <t>First Name</t>
  </si>
  <si>
    <t>Last Name</t>
  </si>
  <si>
    <t>Rank</t>
  </si>
  <si>
    <t>Vishal Thakur</t>
  </si>
  <si>
    <t>Ashish Kaul</t>
  </si>
  <si>
    <t>Shobhit Mathur</t>
  </si>
  <si>
    <t>Ranabir Bhattacharjee</t>
  </si>
  <si>
    <t>Raj Malhotra</t>
  </si>
  <si>
    <t>a.</t>
  </si>
  <si>
    <t>Write a formula to separate the First and the Last names.</t>
  </si>
  <si>
    <t>Rank the individuals on basis of the length of their names, the longest name being at # 1</t>
  </si>
  <si>
    <t>c.</t>
  </si>
  <si>
    <t>Ques.  9</t>
  </si>
  <si>
    <t>a. Split of reports by Markets</t>
  </si>
  <si>
    <t>Ques.  10</t>
  </si>
  <si>
    <t xml:space="preserve">From the raw data sheet, make 2 pivots - </t>
  </si>
  <si>
    <t>3+2 Marks</t>
  </si>
  <si>
    <t>7 Marks</t>
  </si>
  <si>
    <t>Max Marks- 50</t>
  </si>
  <si>
    <t>Total Marks</t>
  </si>
  <si>
    <t>Day</t>
  </si>
  <si>
    <t>By Market</t>
  </si>
  <si>
    <t>Week Number</t>
  </si>
  <si>
    <t>MS - Excel Assessment - Practical</t>
  </si>
  <si>
    <t xml:space="preserve"> 2. Please do not paste special to formulas.</t>
  </si>
  <si>
    <t xml:space="preserve"> 3. If you have solved questions through the different approach please explain on same tab.</t>
  </si>
  <si>
    <t>a. Calculate commission for each salesperson.</t>
  </si>
  <si>
    <t>b. Rank  thesalesperon commission wise.</t>
  </si>
  <si>
    <r>
      <t xml:space="preserve">a. Use an appropriate Excel function to calculate sum for each market have from Jan to Dec. using </t>
    </r>
    <r>
      <rPr>
        <b/>
        <sz val="11"/>
        <color theme="1"/>
        <rFont val="Calibri"/>
        <family val="2"/>
        <scheme val="minor"/>
      </rPr>
      <t>data sheet</t>
    </r>
    <r>
      <rPr>
        <sz val="11"/>
        <color theme="1"/>
        <rFont val="Calibri"/>
        <family val="2"/>
        <scheme val="minor"/>
      </rPr>
      <t xml:space="preserve"> which is the last sheet in this workbook</t>
    </r>
  </si>
  <si>
    <t>b. Which date are weekday in below date (day name should appear).Find the day number and day name example- Day no =1 and day name is = Sunday</t>
  </si>
  <si>
    <t>Write a formula to find the length of name</t>
  </si>
  <si>
    <t>Length</t>
  </si>
  <si>
    <t>b. Split of reports by market, by Year, by Month</t>
  </si>
  <si>
    <t>By Market,year &amp; month</t>
  </si>
  <si>
    <t>a.create a Macro to insert a series from 1 to 50 in the highlighted box and Mark all numbers greater than 20 by green color. (Do not record)</t>
  </si>
  <si>
    <t>Day number</t>
  </si>
  <si>
    <t>Day name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</si>
  <si>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</si>
  <si>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</si>
  <si>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</si>
  <si>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</si>
  <si>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</si>
  <si>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</si>
  <si>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</si>
  <si>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</si>
  <si>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</si>
  <si>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</si>
  <si>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</si>
  <si>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</si>
  <si>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b. Please create a drop down in E22 and G22 at following structure :- </t>
  </si>
  <si>
    <t>Column Labels</t>
  </si>
  <si>
    <t>Row Labels</t>
  </si>
  <si>
    <t>Grand Total</t>
  </si>
  <si>
    <t>Sum of Month</t>
  </si>
  <si>
    <t>Category</t>
  </si>
  <si>
    <t>Sum of Amount</t>
  </si>
  <si>
    <t>Anshul Joshi</t>
  </si>
  <si>
    <t>Anshul: Using Index Match instead of VLOOKUP as it is more optimized in comparison</t>
  </si>
  <si>
    <t>Anshul: Using Conditional formatting to define rules on how to highlight the cell based on the above conditions. You can check the conditional formatting rules on the highlighted cells</t>
  </si>
  <si>
    <r>
      <t xml:space="preserve">Anshul: </t>
    </r>
    <r>
      <rPr>
        <i/>
        <sz val="14"/>
        <color rgb="FFFF0000"/>
        <rFont val="Calibri"/>
        <family val="2"/>
        <scheme val="minor"/>
      </rPr>
      <t>Utilized SUMIFs function for multiple condition for sum</t>
    </r>
  </si>
  <si>
    <t>Anshul: Used the Custom Format cell to change to the desired format. Format used: "$"#0.0#,, "m"</t>
  </si>
  <si>
    <t>Anshul: Kept C9 cell in the SUMIFs condition</t>
  </si>
  <si>
    <r>
      <t>Anshul: Macro created:</t>
    </r>
    <r>
      <rPr>
        <i/>
        <sz val="14"/>
        <color rgb="FFFF0000"/>
        <rFont val="Calibri"/>
        <family val="2"/>
        <scheme val="minor"/>
      </rPr>
      <t xml:space="preserve"> Insertnumber_1_to_50</t>
    </r>
    <r>
      <rPr>
        <sz val="14"/>
        <color rgb="FFFF0000"/>
        <rFont val="Calibri"/>
        <family val="2"/>
        <scheme val="minor"/>
      </rPr>
      <t>. This Macro is assigned to "1 TO 50" button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</si>
</sst>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&quot;$&quot;* #,##0.00_);_(&quot;$&quot;* \(#,##0.00\);_(&quot;$&quot;* &quot;-&quot;??_);_(@_)"/>
    <numFmt numFmtId="165" formatCode="0."/>
    <numFmt numFmtId="166" formatCode="_-* #,##0_-;\-* #,##0_-;_-* &quot;-&quot;??_-;_-@_-"/>
    <numFmt numFmtId="167" formatCode="yyyy/mm/dd"/>
    <numFmt numFmtId="168" formatCode="dddd"/>
    <numFmt numFmtId="169" formatCode="mmm"/>
    <numFmt numFmtId="170" formatCode="&quot;$&quot;#0.0#,,\ &quot;m&quot;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6"/>
      <name val="Times New Roman"/>
      <family val="1"/>
    </font>
    <font>
      <b/>
      <sz val="22"/>
      <name val="Times New Roman"/>
      <family val="1"/>
    </font>
    <font>
      <sz val="12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Times New Roman"/>
      <family val="1"/>
    </font>
    <font>
      <sz val="12"/>
      <color theme="1"/>
      <name val="Calibri"/>
      <family val="2"/>
      <scheme val="minor"/>
    </font>
    <font>
      <sz val="11"/>
      <name val="Arial"/>
      <family val="2"/>
    </font>
    <font>
      <b/>
      <sz val="14"/>
      <name val="Verdana"/>
      <family val="2"/>
    </font>
    <font>
      <sz val="14"/>
      <name val="Verdana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4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4"/>
      <color rgb="FFFF0000"/>
      <name val="Calibri"/>
      <family val="2"/>
      <scheme val="minor"/>
    </font>
    <font>
      <i/>
      <sz val="2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i/>
      <sz val="14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43" fontId="15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123">
    <xf numFmtId="0" fontId="0" fillId="0" borderId="0" xfId="0"/>
    <xf numFmtId="0" fontId="2" fillId="0" borderId="0" xfId="1" applyFont="1" applyAlignment="1"/>
    <xf numFmtId="0" fontId="4" fillId="0" borderId="0" xfId="1" applyFont="1"/>
    <xf numFmtId="0" fontId="4" fillId="0" borderId="0" xfId="1" applyFont="1" applyBorder="1" applyAlignment="1"/>
    <xf numFmtId="0" fontId="3" fillId="0" borderId="0" xfId="1" applyFont="1" applyAlignment="1">
      <alignment horizontal="center"/>
    </xf>
    <xf numFmtId="0" fontId="3" fillId="0" borderId="5" xfId="1" applyFont="1" applyBorder="1" applyAlignment="1">
      <alignment horizontal="center"/>
    </xf>
    <xf numFmtId="0" fontId="5" fillId="0" borderId="0" xfId="1" applyFont="1"/>
    <xf numFmtId="0" fontId="6" fillId="0" borderId="0" xfId="1" applyFont="1"/>
    <xf numFmtId="0" fontId="5" fillId="0" borderId="0" xfId="1" applyFont="1" applyBorder="1"/>
    <xf numFmtId="0" fontId="6" fillId="0" borderId="0" xfId="1" applyFont="1" applyBorder="1"/>
    <xf numFmtId="0" fontId="9" fillId="2" borderId="7" xfId="1" applyFont="1" applyFill="1" applyBorder="1" applyAlignment="1">
      <alignment horizontal="center"/>
    </xf>
    <xf numFmtId="0" fontId="9" fillId="2" borderId="7" xfId="1" applyFont="1" applyFill="1" applyBorder="1" applyAlignment="1">
      <alignment horizontal="left"/>
    </xf>
    <xf numFmtId="0" fontId="9" fillId="2" borderId="7" xfId="1" applyFont="1" applyFill="1" applyBorder="1" applyAlignment="1">
      <alignment horizontal="right"/>
    </xf>
    <xf numFmtId="165" fontId="9" fillId="0" borderId="8" xfId="1" applyNumberFormat="1" applyFont="1" applyBorder="1" applyAlignment="1">
      <alignment horizontal="center"/>
    </xf>
    <xf numFmtId="0" fontId="9" fillId="0" borderId="8" xfId="1" applyFont="1" applyBorder="1" applyAlignment="1">
      <alignment horizontal="left"/>
    </xf>
    <xf numFmtId="0" fontId="9" fillId="0" borderId="8" xfId="1" applyFont="1" applyFill="1" applyBorder="1" applyAlignment="1">
      <alignment horizontal="right"/>
    </xf>
    <xf numFmtId="9" fontId="9" fillId="0" borderId="7" xfId="1" applyNumberFormat="1" applyFont="1" applyBorder="1" applyAlignment="1">
      <alignment horizontal="center"/>
    </xf>
    <xf numFmtId="165" fontId="9" fillId="0" borderId="7" xfId="1" applyNumberFormat="1" applyFont="1" applyBorder="1" applyAlignment="1">
      <alignment horizontal="center"/>
    </xf>
    <xf numFmtId="0" fontId="9" fillId="0" borderId="7" xfId="1" applyFont="1" applyFill="1" applyBorder="1" applyAlignment="1">
      <alignment horizontal="left"/>
    </xf>
    <xf numFmtId="0" fontId="9" fillId="0" borderId="7" xfId="1" applyFont="1" applyFill="1" applyBorder="1" applyAlignment="1">
      <alignment horizontal="right"/>
    </xf>
    <xf numFmtId="0" fontId="9" fillId="0" borderId="7" xfId="1" applyFont="1" applyBorder="1" applyAlignment="1">
      <alignment horizontal="left"/>
    </xf>
    <xf numFmtId="165" fontId="9" fillId="0" borderId="7" xfId="1" applyNumberFormat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2" fillId="0" borderId="0" xfId="1" applyFont="1" applyAlignment="1">
      <alignment horizontal="center"/>
    </xf>
    <xf numFmtId="0" fontId="10" fillId="0" borderId="0" xfId="1" applyFont="1"/>
    <xf numFmtId="0" fontId="10" fillId="0" borderId="0" xfId="1" applyFont="1" applyBorder="1"/>
    <xf numFmtId="0" fontId="11" fillId="0" borderId="0" xfId="0" applyFont="1"/>
    <xf numFmtId="0" fontId="9" fillId="0" borderId="0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center" vertical="center" wrapText="1"/>
    </xf>
    <xf numFmtId="0" fontId="9" fillId="3" borderId="7" xfId="1" applyFont="1" applyFill="1" applyBorder="1" applyAlignment="1">
      <alignment horizontal="center"/>
    </xf>
    <xf numFmtId="0" fontId="11" fillId="0" borderId="0" xfId="0" applyFont="1" applyFill="1" applyBorder="1"/>
    <xf numFmtId="0" fontId="8" fillId="0" borderId="7" xfId="1" applyFont="1" applyBorder="1" applyAlignment="1">
      <alignment horizontal="center" vertical="center" wrapText="1"/>
    </xf>
    <xf numFmtId="0" fontId="13" fillId="4" borderId="7" xfId="1" applyFont="1" applyFill="1" applyBorder="1" applyAlignment="1" applyProtection="1">
      <alignment horizontal="center" vertical="center" wrapText="1"/>
    </xf>
    <xf numFmtId="1" fontId="14" fillId="0" borderId="8" xfId="1" applyNumberFormat="1" applyFont="1" applyBorder="1" applyAlignment="1" applyProtection="1">
      <alignment horizontal="center"/>
    </xf>
    <xf numFmtId="0" fontId="14" fillId="0" borderId="8" xfId="1" applyFont="1" applyBorder="1" applyProtection="1"/>
    <xf numFmtId="0" fontId="9" fillId="0" borderId="8" xfId="1" applyFont="1" applyFill="1" applyBorder="1" applyAlignment="1" applyProtection="1"/>
    <xf numFmtId="0" fontId="14" fillId="0" borderId="7" xfId="1" applyFont="1" applyBorder="1" applyProtection="1"/>
    <xf numFmtId="0" fontId="9" fillId="0" borderId="7" xfId="1" applyFont="1" applyFill="1" applyBorder="1" applyAlignment="1" applyProtection="1"/>
    <xf numFmtId="0" fontId="14" fillId="0" borderId="7" xfId="1" applyFont="1" applyFill="1" applyBorder="1" applyProtection="1"/>
    <xf numFmtId="166" fontId="16" fillId="0" borderId="0" xfId="2" applyNumberFormat="1" applyFont="1"/>
    <xf numFmtId="14" fontId="0" fillId="0" borderId="0" xfId="0" applyNumberFormat="1"/>
    <xf numFmtId="167" fontId="0" fillId="0" borderId="0" xfId="0" applyNumberFormat="1"/>
    <xf numFmtId="3" fontId="9" fillId="0" borderId="8" xfId="1" applyNumberFormat="1" applyFont="1" applyFill="1" applyBorder="1" applyAlignment="1" applyProtection="1"/>
    <xf numFmtId="0" fontId="14" fillId="0" borderId="8" xfId="1" applyFont="1" applyFill="1" applyBorder="1" applyProtection="1"/>
    <xf numFmtId="49" fontId="14" fillId="0" borderId="8" xfId="1" applyNumberFormat="1" applyFont="1" applyBorder="1" applyAlignment="1" applyProtection="1">
      <alignment horizontal="center"/>
    </xf>
    <xf numFmtId="0" fontId="0" fillId="0" borderId="0" xfId="0" applyBorder="1"/>
    <xf numFmtId="0" fontId="0" fillId="0" borderId="10" xfId="0" applyBorder="1"/>
    <xf numFmtId="0" fontId="0" fillId="0" borderId="5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5" borderId="14" xfId="0" applyFill="1" applyBorder="1"/>
    <xf numFmtId="0" fontId="0" fillId="6" borderId="15" xfId="0" applyFill="1" applyBorder="1"/>
    <xf numFmtId="0" fontId="0" fillId="3" borderId="9" xfId="0" applyFill="1" applyBorder="1"/>
    <xf numFmtId="0" fontId="18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" xfId="0" applyBorder="1"/>
    <xf numFmtId="0" fontId="0" fillId="0" borderId="9" xfId="0" applyBorder="1"/>
    <xf numFmtId="0" fontId="10" fillId="0" borderId="0" xfId="1" applyFont="1" applyAlignment="1">
      <alignment horizontal="center" vertical="center"/>
    </xf>
    <xf numFmtId="0" fontId="10" fillId="0" borderId="0" xfId="1" applyFont="1" applyAlignment="1">
      <alignment vertical="center"/>
    </xf>
    <xf numFmtId="0" fontId="19" fillId="0" borderId="0" xfId="1" applyFont="1" applyFill="1" applyBorder="1" applyAlignment="1">
      <alignment horizontal="center"/>
    </xf>
    <xf numFmtId="0" fontId="20" fillId="0" borderId="0" xfId="1" applyFont="1"/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7" xfId="1" applyFont="1" applyBorder="1" applyAlignment="1">
      <alignment horizontal="center" vertical="center" wrapText="1"/>
    </xf>
    <xf numFmtId="0" fontId="22" fillId="0" borderId="7" xfId="1" applyFont="1" applyBorder="1" applyAlignment="1">
      <alignment horizontal="center" vertical="center" wrapText="1"/>
    </xf>
    <xf numFmtId="0" fontId="22" fillId="0" borderId="0" xfId="1" applyFont="1"/>
    <xf numFmtId="0" fontId="23" fillId="0" borderId="0" xfId="0" applyFont="1"/>
    <xf numFmtId="0" fontId="14" fillId="0" borderId="8" xfId="1" applyNumberFormat="1" applyFont="1" applyBorder="1" applyAlignment="1" applyProtection="1">
      <alignment horizontal="center"/>
    </xf>
    <xf numFmtId="0" fontId="24" fillId="0" borderId="0" xfId="0" applyFont="1" applyFill="1"/>
    <xf numFmtId="0" fontId="18" fillId="0" borderId="7" xfId="0" applyFont="1" applyBorder="1" applyAlignment="1">
      <alignment horizontal="center" vertical="center"/>
    </xf>
    <xf numFmtId="0" fontId="0" fillId="0" borderId="0" xfId="0" applyFill="1"/>
    <xf numFmtId="169" fontId="18" fillId="0" borderId="6" xfId="0" applyNumberFormat="1" applyFont="1" applyBorder="1"/>
    <xf numFmtId="0" fontId="9" fillId="7" borderId="7" xfId="1" applyFont="1" applyFill="1" applyBorder="1" applyAlignment="1">
      <alignment horizontal="right"/>
    </xf>
    <xf numFmtId="14" fontId="0" fillId="0" borderId="9" xfId="0" applyNumberFormat="1" applyBorder="1"/>
    <xf numFmtId="0" fontId="0" fillId="7" borderId="7" xfId="0" applyFill="1" applyBorder="1"/>
    <xf numFmtId="0" fontId="0" fillId="8" borderId="0" xfId="0" applyFill="1" applyBorder="1"/>
    <xf numFmtId="0" fontId="22" fillId="7" borderId="7" xfId="1" applyFont="1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/>
    </xf>
    <xf numFmtId="0" fontId="18" fillId="0" borderId="7" xfId="0" applyFont="1" applyBorder="1" applyAlignment="1">
      <alignment horizontal="center"/>
    </xf>
    <xf numFmtId="168" fontId="0" fillId="7" borderId="7" xfId="0" applyNumberFormat="1" applyFill="1" applyBorder="1"/>
    <xf numFmtId="0" fontId="0" fillId="0" borderId="0" xfId="0" applyFill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9" fillId="0" borderId="29" xfId="1" applyFont="1" applyFill="1" applyBorder="1" applyAlignment="1">
      <alignment horizontal="left"/>
    </xf>
    <xf numFmtId="0" fontId="0" fillId="0" borderId="30" xfId="0" applyBorder="1"/>
    <xf numFmtId="0" fontId="9" fillId="7" borderId="8" xfId="1" applyFont="1" applyFill="1" applyBorder="1" applyAlignment="1">
      <alignment horizontal="center" vertical="center"/>
    </xf>
    <xf numFmtId="0" fontId="14" fillId="7" borderId="8" xfId="1" applyFont="1" applyFill="1" applyBorder="1" applyAlignment="1" applyProtection="1">
      <alignment horizontal="center" vertical="center"/>
    </xf>
    <xf numFmtId="0" fontId="9" fillId="2" borderId="29" xfId="1" applyFont="1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170" fontId="0" fillId="7" borderId="19" xfId="3" applyNumberFormat="1" applyFont="1" applyFill="1" applyBorder="1"/>
    <xf numFmtId="0" fontId="20" fillId="0" borderId="2" xfId="1" applyFont="1" applyBorder="1" applyAlignment="1">
      <alignment horizontal="center" vertical="center"/>
    </xf>
    <xf numFmtId="0" fontId="20" fillId="0" borderId="4" xfId="1" applyFont="1" applyBorder="1" applyAlignment="1">
      <alignment horizontal="center" vertical="center"/>
    </xf>
    <xf numFmtId="0" fontId="2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19" fillId="0" borderId="2" xfId="1" applyFont="1" applyBorder="1" applyAlignment="1">
      <alignment horizontal="center" vertical="center"/>
    </xf>
    <xf numFmtId="0" fontId="19" fillId="0" borderId="3" xfId="1" applyFont="1" applyBorder="1" applyAlignment="1">
      <alignment horizontal="center" vertical="center"/>
    </xf>
    <xf numFmtId="0" fontId="19" fillId="0" borderId="4" xfId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31" xfId="0" applyBorder="1"/>
  </cellXfs>
  <cellStyles count="4">
    <cellStyle name="Comma" xfId="2" builtinId="3"/>
    <cellStyle name="Currency" xfId="3" builtinId="4"/>
    <cellStyle name="Nor}al" xfId="1" xr:uid="{00000000-0005-0000-0000-000002000000}"/>
    <cellStyle name="Normal" xfId="0" builtinId="0"/>
  </cellStyles>
  <dxfs count="12"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theme="9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523875</xdr:colOff>
      <xdr:row>23</xdr:row>
      <xdr:rowOff>38100</xdr:rowOff>
    </xdr:from>
    <xdr:to>
      <xdr:col>11</xdr:col>
      <xdr:colOff>504825</xdr:colOff>
      <xdr:row>24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8639175" y="4521200"/>
          <a:ext cx="654050" cy="190500"/>
          <a:chOff x="7581900" y="2124075"/>
          <a:chExt cx="590550" cy="381000"/>
        </a:xfrm>
      </xdr:grpSpPr>
      <xdr:cxnSp macro="">
        <xdr:nvCxnSpPr>
          <xdr:cNvPr id="3" name="Elbow Connector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CxnSpPr/>
        </xdr:nvCxnSpPr>
        <xdr:spPr>
          <a:xfrm>
            <a:off x="7581900" y="2295525"/>
            <a:ext cx="581025" cy="20955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Elbow Connector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 flipV="1">
            <a:off x="7581900" y="2124075"/>
            <a:ext cx="590550" cy="16192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514350</xdr:colOff>
      <xdr:row>25</xdr:row>
      <xdr:rowOff>104775</xdr:rowOff>
    </xdr:from>
    <xdr:to>
      <xdr:col>11</xdr:col>
      <xdr:colOff>495300</xdr:colOff>
      <xdr:row>26</xdr:row>
      <xdr:rowOff>114300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8629650" y="4968875"/>
          <a:ext cx="654050" cy="200025"/>
          <a:chOff x="7581900" y="2124075"/>
          <a:chExt cx="590550" cy="381000"/>
        </a:xfrm>
      </xdr:grpSpPr>
      <xdr:cxnSp macro="">
        <xdr:nvCxnSpPr>
          <xdr:cNvPr id="10" name="Elbow Connector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CxnSpPr/>
        </xdr:nvCxnSpPr>
        <xdr:spPr>
          <a:xfrm>
            <a:off x="7581900" y="2295525"/>
            <a:ext cx="581025" cy="20955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Elbow Connector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 flipV="1">
            <a:off x="7581900" y="2124075"/>
            <a:ext cx="590550" cy="16192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215900</xdr:colOff>
          <xdr:row>5</xdr:row>
          <xdr:rowOff>101600</xdr:rowOff>
        </xdr:from>
        <xdr:to>
          <xdr:col>10</xdr:col>
          <xdr:colOff>63500</xdr:colOff>
          <xdr:row>7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 TO 50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bir Singh" refreshedDate="42982.612899074076" createdVersion="5" refreshedVersion="5" minRefreshableVersion="3" recordCount="16" xr:uid="{00000000-000A-0000-FFFF-FFFF00000000}">
  <cacheSource type="worksheet">
    <worksheetSource ref="C9:D25" sheet="Ques 9"/>
  </cacheSource>
  <cacheFields count="2">
    <cacheField name="Row Labels" numFmtId="0">
      <sharedItems/>
    </cacheField>
    <cacheField name="Sum of Amount" numFmtId="0">
      <sharedItems containsSemiMixedTypes="0" containsString="0" containsNumber="1" minValue="743.85" maxValue="17685194.56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sing184" refreshedDate="42985.576811805557" createdVersion="5" refreshedVersion="5" minRefreshableVersion="3" recordCount="399" xr:uid="{00000000-000A-0000-FFFF-FFFF12000000}">
  <cacheSource type="worksheet">
    <worksheetSource ref="K9:N408" sheet="Ques 9"/>
  </cacheSource>
  <cacheFields count="4">
    <cacheField name="Market" numFmtId="0">
      <sharedItems count="15">
        <s v="SWEDEN"/>
        <s v="UK"/>
        <s v="GERMANY"/>
        <s v="NETHERLANDS"/>
        <s v="DENMARK"/>
        <s v="SPAIN"/>
        <s v="SWITZERLAND"/>
        <s v="HUNGARY"/>
        <s v="NORWAY"/>
        <s v="RUSSIA"/>
        <s v="AUSTRIA"/>
        <s v="IRELAND"/>
        <s v="POLAND"/>
        <s v="GREECE"/>
        <s v="CZECH REP"/>
      </sharedItems>
    </cacheField>
    <cacheField name="Year" numFmtId="0">
      <sharedItems containsSemiMixedTypes="0" containsString="0" containsNumber="1" containsInteger="1" minValue="2010" maxValue="2011"/>
    </cacheField>
    <cacheField name="Month" numFmtId="0">
      <sharedItems containsSemiMixedTypes="0" containsString="0" containsNumber="1" containsInteger="1" minValue="1" maxValue="12" count="12">
        <n v="4"/>
        <n v="1"/>
        <n v="3"/>
        <n v="12"/>
        <n v="5"/>
        <n v="10"/>
        <n v="6"/>
        <n v="2"/>
        <n v="7"/>
        <n v="8"/>
        <n v="9"/>
        <n v="11"/>
      </sharedItems>
    </cacheField>
    <cacheField name="Amount" numFmtId="166">
      <sharedItems containsSemiMixedTypes="0" containsString="0" containsNumber="1" minValue="-3452" maxValue="10256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624.965083796298" createdVersion="7" refreshedVersion="7" minRefreshableVersion="3" recordCount="399" xr:uid="{20CE4717-649C-BD4C-ABFA-E347E9F585FC}">
  <cacheSource type="worksheet">
    <worksheetSource ref="A1:E400" sheet="Data"/>
  </cacheSource>
  <cacheFields count="5">
    <cacheField name="Market" numFmtId="0">
      <sharedItems count="15">
        <s v="SWEDEN"/>
        <s v="UK"/>
        <s v="GERMANY"/>
        <s v="NETHERLANDS"/>
        <s v="DENMARK"/>
        <s v="SPAIN"/>
        <s v="SWITZERLAND"/>
        <s v="HUNGARY"/>
        <s v="NORWAY"/>
        <s v="RUSSIA"/>
        <s v="AUSTRIA"/>
        <s v="IRELAND"/>
        <s v="POLAND"/>
        <s v="GREECE"/>
        <s v="CZECH REP"/>
      </sharedItems>
    </cacheField>
    <cacheField name="Year" numFmtId="0">
      <sharedItems containsSemiMixedTypes="0" containsString="0" containsNumber="1" containsInteger="1" minValue="2010" maxValue="2011" count="2">
        <n v="2010"/>
        <n v="2011"/>
      </sharedItems>
    </cacheField>
    <cacheField name="Month" numFmtId="0">
      <sharedItems containsSemiMixedTypes="0" containsString="0" containsNumber="1" containsInteger="1" minValue="1" maxValue="12" count="12">
        <n v="4"/>
        <n v="1"/>
        <n v="3"/>
        <n v="12"/>
        <n v="5"/>
        <n v="10"/>
        <n v="6"/>
        <n v="2"/>
        <n v="7"/>
        <n v="8"/>
        <n v="9"/>
        <n v="11"/>
      </sharedItems>
    </cacheField>
    <cacheField name="Txns" numFmtId="166">
      <sharedItems containsSemiMixedTypes="0" containsString="0" containsNumber="1" minValue="0" maxValue="1728"/>
    </cacheField>
    <cacheField name="Amount" numFmtId="166">
      <sharedItems containsSemiMixedTypes="0" containsString="0" containsNumber="1" minValue="-3452" maxValue="1025647" count="388">
        <n v="2750"/>
        <n v="7595"/>
        <n v="6269"/>
        <n v="16843.400000000001"/>
        <n v="162848.97"/>
        <n v="21145.98"/>
        <n v="137"/>
        <n v="11574.47"/>
        <n v="74305"/>
        <n v="219335"/>
        <n v="44765"/>
        <n v="9940"/>
        <n v="43215"/>
        <n v="122600.18"/>
        <n v="35130.639999999999"/>
        <n v="66"/>
        <n v="5997.77"/>
        <n v="5921.25"/>
        <n v="1922.97"/>
        <n v="85515"/>
        <n v="337"/>
        <n v="2012"/>
        <n v="86031"/>
        <n v="10700"/>
        <n v="126811"/>
        <n v="45482"/>
        <n v="3465"/>
        <n v="1700"/>
        <n v="478417"/>
        <n v="254804"/>
        <n v="16875"/>
        <n v="3483"/>
        <n v="7396"/>
        <n v="970.5"/>
        <n v="988446"/>
        <n v="66480.44"/>
        <n v="95771.8"/>
        <n v="78800"/>
        <n v="100"/>
        <n v="0"/>
        <n v="472"/>
        <n v="1895.3500000000001"/>
        <n v="134"/>
        <n v="-3452"/>
        <n v="200"/>
        <n v="2114"/>
        <n v="3646"/>
        <n v="260"/>
        <n v="105.34"/>
        <n v="-515"/>
        <n v="50"/>
        <n v="1509.8"/>
        <n v="105.04"/>
        <n v="214.28"/>
        <n v="-334"/>
        <n v="-644"/>
        <n v="42.02"/>
        <n v="602"/>
        <n v="-75"/>
        <n v="8"/>
        <n v="-184"/>
        <n v="601"/>
        <n v="7173.2"/>
        <n v="8849.32"/>
        <n v="380"/>
        <n v="317"/>
        <n v="6315"/>
        <n v="7447.49"/>
        <n v="42055.5"/>
        <n v="394783.11"/>
        <n v="3684.66"/>
        <n v="484"/>
        <n v="1998.62"/>
        <n v="991"/>
        <n v="935.79"/>
        <n v="7397.11"/>
        <n v="3623.4"/>
        <n v="3963"/>
        <n v="4214.68"/>
        <n v="107.2"/>
        <n v="30108.1"/>
        <n v="2899"/>
        <n v="9200.9599999999991"/>
        <n v="38618"/>
        <n v="10039"/>
        <n v="24620"/>
        <n v="35738"/>
        <n v="76161"/>
        <n v="386978"/>
        <n v="128595"/>
        <n v="11360"/>
        <n v="6022.37"/>
        <n v="29136.45"/>
        <n v="13247.99"/>
        <n v="1957.24"/>
        <n v="31411.8"/>
        <n v="6919.67"/>
        <n v="36493.22"/>
        <n v="84509"/>
        <n v="2925"/>
        <n v="10.93"/>
        <n v="2804"/>
        <n v="25339"/>
        <n v="25909"/>
        <n v="3085"/>
        <n v="1560"/>
        <n v="18323"/>
        <n v="1485"/>
        <n v="6354.35"/>
        <n v="1386.49"/>
        <n v="125"/>
        <n v="2985"/>
        <n v="3400"/>
        <n v="60977"/>
        <n v="2615"/>
        <n v="45485"/>
        <n v="4570"/>
        <n v="6120"/>
        <n v="78137"/>
        <n v="621"/>
        <n v="26777"/>
        <n v="3815"/>
        <n v="34877"/>
        <n v="2479"/>
        <n v="32239"/>
        <n v="1825"/>
        <n v="29170"/>
        <n v="208156"/>
        <n v="1745"/>
        <n v="9706"/>
        <n v="5986"/>
        <n v="27305"/>
        <n v="162892"/>
        <n v="2910"/>
        <n v="2685"/>
        <n v="64127.15"/>
        <n v="6827.8"/>
        <n v="384"/>
        <n v="255.63"/>
        <n v="79.2"/>
        <n v="2756.21"/>
        <n v="1011.16"/>
        <n v="20973"/>
        <n v="16435"/>
        <n v="124"/>
        <n v="108"/>
        <n v="5676.45"/>
        <n v="2384.6999999999998"/>
        <n v="425"/>
        <n v="309.20999999999998"/>
        <n v="144.54"/>
        <n v="290.10000000000002"/>
        <n v="269"/>
        <n v="28695.9"/>
        <n v="608607"/>
        <n v="4600"/>
        <n v="30602"/>
        <n v="3800"/>
        <n v="13834.25"/>
        <n v="504.9"/>
        <n v="10030"/>
        <n v="9085"/>
        <n v="57330"/>
        <n v="9199.48"/>
        <n v="97847"/>
        <n v="2874"/>
        <n v="4914.33"/>
        <n v="2321"/>
        <n v="1291.6199999999999"/>
        <n v="390"/>
        <n v="143"/>
        <n v="8374.09"/>
        <n v="861.6"/>
        <n v="2536.56"/>
        <n v="2679"/>
        <n v="676"/>
        <n v="46581.57"/>
        <n v="9072.4"/>
        <n v="2075.7800000000002"/>
        <n v="86.53"/>
        <n v="365.55"/>
        <n v="15.13"/>
        <n v="149.76"/>
        <n v="5829.89"/>
        <n v="413"/>
        <n v="277.49"/>
        <n v="85.71"/>
        <n v="148"/>
        <n v="424"/>
        <n v="1817.6"/>
        <n v="274.22000000000003"/>
        <n v="809.5"/>
        <n v="453757"/>
        <n v="120865"/>
        <n v="72803"/>
        <n v="69967"/>
        <n v="109180"/>
        <n v="236931"/>
        <n v="51854"/>
        <n v="167494"/>
        <n v="10722"/>
        <n v="941734"/>
        <n v="172135"/>
        <n v="598973"/>
        <n v="7641"/>
        <n v="4555"/>
        <n v="122197"/>
        <n v="127498"/>
        <n v="11910"/>
        <n v="79893"/>
        <n v="125825"/>
        <n v="5760"/>
        <n v="8263"/>
        <n v="3470"/>
        <n v="715"/>
        <n v="7548.06"/>
        <n v="3049.8"/>
        <n v="27537.4"/>
        <n v="782502.71"/>
        <n v="61933.32"/>
        <n v="10788"/>
        <n v="50768"/>
        <n v="21867.4"/>
        <n v="67000.800000000003"/>
        <n v="15516"/>
        <n v="2008"/>
        <n v="6633.36"/>
        <n v="25614.36"/>
        <n v="1668.33"/>
        <n v="30024"/>
        <n v="12372.23"/>
        <n v="16344.89"/>
        <n v="2447"/>
        <n v="3373.3"/>
        <n v="29881.360000000001"/>
        <n v="8071.39"/>
        <n v="7793.77"/>
        <n v="3141.03"/>
        <n v="1147.42"/>
        <n v="179"/>
        <n v="2882.04"/>
        <n v="18956"/>
        <n v="3375"/>
        <n v="892"/>
        <n v="1921"/>
        <n v="344.97"/>
        <n v="176040.35"/>
        <n v="130185"/>
        <n v="454683"/>
        <n v="1014808.1499999999"/>
        <n v="316010.95"/>
        <n v="38328.1"/>
        <n v="2435"/>
        <n v="167910"/>
        <n v="68373"/>
        <n v="4000"/>
        <n v="3771.87"/>
        <n v="28380"/>
        <n v="14517.44"/>
        <n v="12704.22"/>
        <n v="1758"/>
        <n v="264"/>
        <n v="1422"/>
        <n v="247"/>
        <n v="8560.4000000000015"/>
        <n v="2727.79"/>
        <n v="45114.239999999998"/>
        <n v="1412.96"/>
        <n v="79.23"/>
        <n v="12765.34"/>
        <n v="4183.17"/>
        <n v="2790"/>
        <n v="1615.19"/>
        <n v="18223"/>
        <n v="68720"/>
        <n v="39016"/>
        <n v="5990"/>
        <n v="11886"/>
        <n v="56670"/>
        <n v="1400"/>
        <n v="5675"/>
        <n v="3160"/>
        <n v="10923"/>
        <n v="11610"/>
        <n v="1052"/>
        <n v="3027"/>
        <n v="7795"/>
        <n v="202378"/>
        <n v="4400"/>
        <n v="36459.85"/>
        <n v="1935"/>
        <n v="2390"/>
        <n v="1010"/>
        <n v="5140"/>
        <n v="57774"/>
        <n v="3990"/>
        <n v="10065"/>
        <n v="8312"/>
        <n v="918"/>
        <n v="8020"/>
        <n v="7651"/>
        <n v="989"/>
        <n v="91040"/>
        <n v="3748"/>
        <n v="2796"/>
        <n v="19720"/>
        <n v="1086"/>
        <n v="16341"/>
        <n v="14108"/>
        <n v="100848.3"/>
        <n v="14804"/>
        <n v="500"/>
        <n v="1268"/>
        <n v="1470"/>
        <n v="2845"/>
        <n v="3235"/>
        <n v="726.04"/>
        <n v="179.83"/>
        <n v="8560"/>
        <n v="420"/>
        <n v="5713"/>
        <n v="37286"/>
        <n v="1990"/>
        <n v="8950"/>
        <n v="11288.03"/>
        <n v="2451"/>
        <n v="9240"/>
        <n v="2234"/>
        <n v="2235"/>
        <n v="1118"/>
        <n v="253485"/>
        <n v="16905"/>
        <n v="1025647"/>
        <n v="4175"/>
        <n v="3285"/>
        <n v="17777"/>
        <n v="6455"/>
        <n v="21445"/>
        <n v="152312"/>
        <n v="514290"/>
        <n v="2740"/>
        <n v="2085"/>
        <n v="960"/>
        <n v="2190"/>
        <n v="8170"/>
        <n v="3276"/>
        <n v="561.48"/>
        <n v="24704.65"/>
        <n v="15795.06"/>
        <n v="11235.869999999999"/>
        <n v="1648.75"/>
        <n v="26939.599999999999"/>
        <n v="186747.38"/>
        <n v="46710.53"/>
        <n v="3436.76"/>
        <n v="14273.36"/>
        <n v="18324.7"/>
        <n v="4793.8"/>
        <n v="19397.439999999999"/>
        <n v="28849"/>
        <n v="21371"/>
        <n v="8369"/>
        <n v="5943"/>
        <n v="3200"/>
        <n v="50788.7"/>
        <n v="73.5"/>
        <n v="387"/>
        <n v="186"/>
        <n v="4438.79"/>
        <n v="4095.54"/>
        <n v="1021"/>
        <n v="63954"/>
        <n v="1560.98"/>
        <n v="22046.400000000001"/>
        <n v="3143"/>
        <n v="515"/>
        <n v="560"/>
        <n v="36855"/>
        <n v="46307"/>
        <n v="29450"/>
        <n v="12478"/>
        <n v="7478"/>
        <n v="940"/>
        <n v="142250"/>
        <n v="757"/>
        <n v="9990"/>
        <n v="3734"/>
        <n v="45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s v="AUSTRIA"/>
    <n v="15490.46"/>
  </r>
  <r>
    <s v="CZECH REP"/>
    <n v="377393.65"/>
  </r>
  <r>
    <s v="DENMARK"/>
    <n v="2212831.2999999998"/>
  </r>
  <r>
    <s v="GERMANY"/>
    <n v="120445.81999999998"/>
  </r>
  <r>
    <s v="GREECE"/>
    <n v="743.85"/>
  </r>
  <r>
    <s v="HUNGARY"/>
    <n v="1549178"/>
  </r>
  <r>
    <s v="IRELAND"/>
    <n v="63460.4"/>
  </r>
  <r>
    <s v="NETHERLANDS"/>
    <n v="75842.45"/>
  </r>
  <r>
    <s v="NORWAY"/>
    <n v="2396940"/>
  </r>
  <r>
    <s v="POLAND"/>
    <n v="163696.82999999999"/>
  </r>
  <r>
    <s v="RUSSIA"/>
    <n v="2203887.25"/>
  </r>
  <r>
    <s v="SPAIN"/>
    <n v="539333.04999999993"/>
  </r>
  <r>
    <s v="SWEDEN"/>
    <n v="6776855"/>
  </r>
  <r>
    <s v="SWITZERLAND"/>
    <n v="188851.99"/>
  </r>
  <r>
    <s v="UK"/>
    <n v="1000244.51"/>
  </r>
  <r>
    <s v="Grand Total"/>
    <n v="17685194.56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99">
  <r>
    <x v="0"/>
    <n v="2010"/>
    <x v="0"/>
    <n v="2750"/>
  </r>
  <r>
    <x v="0"/>
    <n v="2010"/>
    <x v="1"/>
    <n v="7595"/>
  </r>
  <r>
    <x v="1"/>
    <n v="2011"/>
    <x v="2"/>
    <n v="6269"/>
  </r>
  <r>
    <x v="1"/>
    <n v="2010"/>
    <x v="1"/>
    <n v="16843.400000000001"/>
  </r>
  <r>
    <x v="1"/>
    <n v="2010"/>
    <x v="1"/>
    <n v="162848.97"/>
  </r>
  <r>
    <x v="2"/>
    <n v="2010"/>
    <x v="1"/>
    <n v="21145.98"/>
  </r>
  <r>
    <x v="2"/>
    <n v="2010"/>
    <x v="3"/>
    <n v="137"/>
  </r>
  <r>
    <x v="3"/>
    <n v="2010"/>
    <x v="1"/>
    <n v="11574.47"/>
  </r>
  <r>
    <x v="4"/>
    <n v="2010"/>
    <x v="1"/>
    <n v="74305"/>
  </r>
  <r>
    <x v="0"/>
    <n v="2010"/>
    <x v="1"/>
    <n v="219335"/>
  </r>
  <r>
    <x v="0"/>
    <n v="2010"/>
    <x v="1"/>
    <n v="44765"/>
  </r>
  <r>
    <x v="0"/>
    <n v="2010"/>
    <x v="4"/>
    <n v="9940"/>
  </r>
  <r>
    <x v="0"/>
    <n v="2010"/>
    <x v="4"/>
    <n v="43215"/>
  </r>
  <r>
    <x v="1"/>
    <n v="2010"/>
    <x v="1"/>
    <n v="122600.18"/>
  </r>
  <r>
    <x v="1"/>
    <n v="2010"/>
    <x v="1"/>
    <n v="35130.639999999999"/>
  </r>
  <r>
    <x v="1"/>
    <n v="2010"/>
    <x v="1"/>
    <n v="66"/>
  </r>
  <r>
    <x v="5"/>
    <n v="2010"/>
    <x v="1"/>
    <n v="5997.77"/>
  </r>
  <r>
    <x v="2"/>
    <n v="2010"/>
    <x v="1"/>
    <n v="5921.25"/>
  </r>
  <r>
    <x v="3"/>
    <n v="2010"/>
    <x v="1"/>
    <n v="1922.97"/>
  </r>
  <r>
    <x v="0"/>
    <n v="2010"/>
    <x v="1"/>
    <n v="85515"/>
  </r>
  <r>
    <x v="6"/>
    <n v="2010"/>
    <x v="5"/>
    <n v="337"/>
  </r>
  <r>
    <x v="6"/>
    <n v="2010"/>
    <x v="1"/>
    <n v="2012"/>
  </r>
  <r>
    <x v="7"/>
    <n v="2010"/>
    <x v="4"/>
    <n v="86031"/>
  </r>
  <r>
    <x v="8"/>
    <n v="2010"/>
    <x v="1"/>
    <n v="10700"/>
  </r>
  <r>
    <x v="0"/>
    <n v="2010"/>
    <x v="1"/>
    <n v="126811"/>
  </r>
  <r>
    <x v="0"/>
    <n v="2010"/>
    <x v="1"/>
    <n v="45482"/>
  </r>
  <r>
    <x v="0"/>
    <n v="2010"/>
    <x v="1"/>
    <n v="3465"/>
  </r>
  <r>
    <x v="0"/>
    <n v="2011"/>
    <x v="2"/>
    <n v="1700"/>
  </r>
  <r>
    <x v="0"/>
    <n v="2010"/>
    <x v="1"/>
    <n v="478417"/>
  </r>
  <r>
    <x v="0"/>
    <n v="2010"/>
    <x v="1"/>
    <n v="254804"/>
  </r>
  <r>
    <x v="0"/>
    <n v="2010"/>
    <x v="1"/>
    <n v="16875"/>
  </r>
  <r>
    <x v="0"/>
    <n v="2010"/>
    <x v="4"/>
    <n v="3483"/>
  </r>
  <r>
    <x v="0"/>
    <n v="2010"/>
    <x v="1"/>
    <n v="7396"/>
  </r>
  <r>
    <x v="3"/>
    <n v="2010"/>
    <x v="1"/>
    <n v="970.5"/>
  </r>
  <r>
    <x v="9"/>
    <n v="2010"/>
    <x v="1"/>
    <n v="988446"/>
  </r>
  <r>
    <x v="9"/>
    <n v="2010"/>
    <x v="1"/>
    <n v="66480.44"/>
  </r>
  <r>
    <x v="9"/>
    <n v="2010"/>
    <x v="1"/>
    <n v="95771.8"/>
  </r>
  <r>
    <x v="0"/>
    <n v="2010"/>
    <x v="1"/>
    <n v="78800"/>
  </r>
  <r>
    <x v="2"/>
    <n v="2010"/>
    <x v="6"/>
    <n v="100"/>
  </r>
  <r>
    <x v="2"/>
    <n v="2010"/>
    <x v="1"/>
    <n v="0"/>
  </r>
  <r>
    <x v="2"/>
    <n v="2010"/>
    <x v="1"/>
    <n v="472"/>
  </r>
  <r>
    <x v="2"/>
    <n v="2010"/>
    <x v="1"/>
    <n v="1895.3500000000001"/>
  </r>
  <r>
    <x v="2"/>
    <n v="2010"/>
    <x v="0"/>
    <n v="134"/>
  </r>
  <r>
    <x v="2"/>
    <n v="2010"/>
    <x v="1"/>
    <n v="0"/>
  </r>
  <r>
    <x v="2"/>
    <n v="2010"/>
    <x v="1"/>
    <n v="-3452"/>
  </r>
  <r>
    <x v="2"/>
    <n v="2010"/>
    <x v="1"/>
    <n v="200"/>
  </r>
  <r>
    <x v="2"/>
    <n v="2010"/>
    <x v="1"/>
    <n v="0"/>
  </r>
  <r>
    <x v="2"/>
    <n v="2010"/>
    <x v="7"/>
    <n v="2114"/>
  </r>
  <r>
    <x v="2"/>
    <n v="2010"/>
    <x v="1"/>
    <n v="3646"/>
  </r>
  <r>
    <x v="2"/>
    <n v="2010"/>
    <x v="1"/>
    <n v="100"/>
  </r>
  <r>
    <x v="2"/>
    <n v="2010"/>
    <x v="8"/>
    <n v="0"/>
  </r>
  <r>
    <x v="2"/>
    <n v="2010"/>
    <x v="1"/>
    <n v="260"/>
  </r>
  <r>
    <x v="2"/>
    <n v="2010"/>
    <x v="7"/>
    <n v="105.34"/>
  </r>
  <r>
    <x v="2"/>
    <n v="2010"/>
    <x v="1"/>
    <n v="0"/>
  </r>
  <r>
    <x v="2"/>
    <n v="2010"/>
    <x v="1"/>
    <n v="-515"/>
  </r>
  <r>
    <x v="2"/>
    <n v="2010"/>
    <x v="1"/>
    <n v="50"/>
  </r>
  <r>
    <x v="2"/>
    <n v="2010"/>
    <x v="1"/>
    <n v="1509.8"/>
  </r>
  <r>
    <x v="2"/>
    <n v="2010"/>
    <x v="1"/>
    <n v="105.04"/>
  </r>
  <r>
    <x v="2"/>
    <n v="2010"/>
    <x v="1"/>
    <n v="214.28"/>
  </r>
  <r>
    <x v="2"/>
    <n v="2010"/>
    <x v="1"/>
    <n v="-334"/>
  </r>
  <r>
    <x v="2"/>
    <n v="2010"/>
    <x v="1"/>
    <n v="-644"/>
  </r>
  <r>
    <x v="2"/>
    <n v="2010"/>
    <x v="6"/>
    <n v="42.02"/>
  </r>
  <r>
    <x v="2"/>
    <n v="2010"/>
    <x v="1"/>
    <n v="0"/>
  </r>
  <r>
    <x v="2"/>
    <n v="2010"/>
    <x v="1"/>
    <n v="0"/>
  </r>
  <r>
    <x v="2"/>
    <n v="2010"/>
    <x v="1"/>
    <n v="602"/>
  </r>
  <r>
    <x v="2"/>
    <n v="2010"/>
    <x v="1"/>
    <n v="42.02"/>
  </r>
  <r>
    <x v="2"/>
    <n v="2010"/>
    <x v="1"/>
    <n v="-75"/>
  </r>
  <r>
    <x v="2"/>
    <n v="2010"/>
    <x v="1"/>
    <n v="0"/>
  </r>
  <r>
    <x v="2"/>
    <n v="2010"/>
    <x v="1"/>
    <n v="0"/>
  </r>
  <r>
    <x v="2"/>
    <n v="2010"/>
    <x v="1"/>
    <n v="8"/>
  </r>
  <r>
    <x v="2"/>
    <n v="2010"/>
    <x v="1"/>
    <n v="-184"/>
  </r>
  <r>
    <x v="3"/>
    <n v="2011"/>
    <x v="1"/>
    <n v="601"/>
  </r>
  <r>
    <x v="3"/>
    <n v="2010"/>
    <x v="3"/>
    <n v="7173.2"/>
  </r>
  <r>
    <x v="3"/>
    <n v="2010"/>
    <x v="3"/>
    <n v="8849.32"/>
  </r>
  <r>
    <x v="3"/>
    <n v="2011"/>
    <x v="4"/>
    <n v="380"/>
  </r>
  <r>
    <x v="3"/>
    <n v="2011"/>
    <x v="7"/>
    <n v="317"/>
  </r>
  <r>
    <x v="10"/>
    <n v="2010"/>
    <x v="1"/>
    <n v="6315"/>
  </r>
  <r>
    <x v="10"/>
    <n v="2010"/>
    <x v="1"/>
    <n v="7447.49"/>
  </r>
  <r>
    <x v="5"/>
    <n v="2010"/>
    <x v="1"/>
    <n v="42055.5"/>
  </r>
  <r>
    <x v="5"/>
    <n v="2010"/>
    <x v="1"/>
    <n v="394783.11"/>
  </r>
  <r>
    <x v="5"/>
    <n v="2010"/>
    <x v="1"/>
    <n v="3684.66"/>
  </r>
  <r>
    <x v="5"/>
    <n v="2010"/>
    <x v="7"/>
    <n v="484"/>
  </r>
  <r>
    <x v="3"/>
    <n v="2010"/>
    <x v="1"/>
    <n v="1998.62"/>
  </r>
  <r>
    <x v="3"/>
    <n v="2010"/>
    <x v="1"/>
    <n v="991"/>
  </r>
  <r>
    <x v="11"/>
    <n v="2010"/>
    <x v="1"/>
    <n v="935.79"/>
  </r>
  <r>
    <x v="11"/>
    <n v="2010"/>
    <x v="1"/>
    <n v="7397.11"/>
  </r>
  <r>
    <x v="11"/>
    <n v="2010"/>
    <x v="9"/>
    <n v="3623.4"/>
  </r>
  <r>
    <x v="11"/>
    <n v="2010"/>
    <x v="1"/>
    <n v="3963"/>
  </r>
  <r>
    <x v="11"/>
    <n v="2010"/>
    <x v="1"/>
    <n v="4214.68"/>
  </r>
  <r>
    <x v="11"/>
    <n v="2010"/>
    <x v="1"/>
    <n v="107.2"/>
  </r>
  <r>
    <x v="11"/>
    <n v="2010"/>
    <x v="1"/>
    <n v="30108.1"/>
  </r>
  <r>
    <x v="11"/>
    <n v="2010"/>
    <x v="1"/>
    <n v="2899"/>
  </r>
  <r>
    <x v="11"/>
    <n v="2010"/>
    <x v="1"/>
    <n v="9200.9599999999991"/>
  </r>
  <r>
    <x v="0"/>
    <n v="2010"/>
    <x v="1"/>
    <n v="38618"/>
  </r>
  <r>
    <x v="0"/>
    <n v="2010"/>
    <x v="1"/>
    <n v="10039"/>
  </r>
  <r>
    <x v="0"/>
    <n v="2010"/>
    <x v="1"/>
    <n v="24620"/>
  </r>
  <r>
    <x v="0"/>
    <n v="2010"/>
    <x v="1"/>
    <n v="35738"/>
  </r>
  <r>
    <x v="0"/>
    <n v="2010"/>
    <x v="1"/>
    <n v="76161"/>
  </r>
  <r>
    <x v="0"/>
    <n v="2010"/>
    <x v="1"/>
    <n v="386978"/>
  </r>
  <r>
    <x v="0"/>
    <n v="2010"/>
    <x v="1"/>
    <n v="128595"/>
  </r>
  <r>
    <x v="0"/>
    <n v="2010"/>
    <x v="1"/>
    <n v="11360"/>
  </r>
  <r>
    <x v="12"/>
    <n v="2010"/>
    <x v="1"/>
    <n v="6022.37"/>
  </r>
  <r>
    <x v="12"/>
    <n v="2010"/>
    <x v="1"/>
    <n v="29136.45"/>
  </r>
  <r>
    <x v="12"/>
    <n v="2010"/>
    <x v="1"/>
    <n v="13247.99"/>
  </r>
  <r>
    <x v="12"/>
    <n v="2010"/>
    <x v="1"/>
    <n v="1957.24"/>
  </r>
  <r>
    <x v="12"/>
    <n v="2010"/>
    <x v="1"/>
    <n v="31411.8"/>
  </r>
  <r>
    <x v="12"/>
    <n v="2011"/>
    <x v="1"/>
    <n v="6919.67"/>
  </r>
  <r>
    <x v="12"/>
    <n v="2010"/>
    <x v="1"/>
    <n v="36493.22"/>
  </r>
  <r>
    <x v="0"/>
    <n v="2011"/>
    <x v="4"/>
    <n v="84509"/>
  </r>
  <r>
    <x v="0"/>
    <n v="2010"/>
    <x v="1"/>
    <n v="2925"/>
  </r>
  <r>
    <x v="2"/>
    <n v="2010"/>
    <x v="1"/>
    <n v="10.93"/>
  </r>
  <r>
    <x v="0"/>
    <n v="2010"/>
    <x v="1"/>
    <n v="2804"/>
  </r>
  <r>
    <x v="8"/>
    <n v="2010"/>
    <x v="1"/>
    <n v="25339"/>
  </r>
  <r>
    <x v="8"/>
    <n v="2010"/>
    <x v="1"/>
    <n v="25909"/>
  </r>
  <r>
    <x v="8"/>
    <n v="2010"/>
    <x v="4"/>
    <n v="3085"/>
  </r>
  <r>
    <x v="8"/>
    <n v="2010"/>
    <x v="6"/>
    <n v="1560"/>
  </r>
  <r>
    <x v="8"/>
    <n v="2010"/>
    <x v="1"/>
    <n v="18323"/>
  </r>
  <r>
    <x v="6"/>
    <n v="2011"/>
    <x v="2"/>
    <n v="1485"/>
  </r>
  <r>
    <x v="6"/>
    <n v="2010"/>
    <x v="1"/>
    <n v="6354.35"/>
  </r>
  <r>
    <x v="6"/>
    <n v="2010"/>
    <x v="1"/>
    <n v="1386.49"/>
  </r>
  <r>
    <x v="10"/>
    <n v="2010"/>
    <x v="2"/>
    <n v="125"/>
  </r>
  <r>
    <x v="0"/>
    <n v="2010"/>
    <x v="9"/>
    <n v="2985"/>
  </r>
  <r>
    <x v="0"/>
    <n v="2010"/>
    <x v="1"/>
    <n v="3400"/>
  </r>
  <r>
    <x v="0"/>
    <n v="2011"/>
    <x v="7"/>
    <n v="60977"/>
  </r>
  <r>
    <x v="0"/>
    <n v="2011"/>
    <x v="2"/>
    <n v="2615"/>
  </r>
  <r>
    <x v="0"/>
    <n v="2010"/>
    <x v="7"/>
    <n v="45485"/>
  </r>
  <r>
    <x v="0"/>
    <n v="2010"/>
    <x v="1"/>
    <n v="4570"/>
  </r>
  <r>
    <x v="0"/>
    <n v="2010"/>
    <x v="4"/>
    <n v="6120"/>
  </r>
  <r>
    <x v="0"/>
    <n v="2010"/>
    <x v="1"/>
    <n v="78137"/>
  </r>
  <r>
    <x v="2"/>
    <n v="2010"/>
    <x v="1"/>
    <n v="621"/>
  </r>
  <r>
    <x v="0"/>
    <n v="2010"/>
    <x v="1"/>
    <n v="26777"/>
  </r>
  <r>
    <x v="0"/>
    <n v="2010"/>
    <x v="7"/>
    <n v="3815"/>
  </r>
  <r>
    <x v="0"/>
    <n v="2010"/>
    <x v="1"/>
    <n v="34877"/>
  </r>
  <r>
    <x v="0"/>
    <n v="2010"/>
    <x v="10"/>
    <n v="2479"/>
  </r>
  <r>
    <x v="0"/>
    <n v="2010"/>
    <x v="1"/>
    <n v="32239"/>
  </r>
  <r>
    <x v="4"/>
    <n v="2010"/>
    <x v="1"/>
    <n v="1825"/>
  </r>
  <r>
    <x v="8"/>
    <n v="2010"/>
    <x v="1"/>
    <n v="29170"/>
  </r>
  <r>
    <x v="8"/>
    <n v="2010"/>
    <x v="1"/>
    <n v="208156"/>
  </r>
  <r>
    <x v="8"/>
    <n v="2010"/>
    <x v="9"/>
    <n v="1745"/>
  </r>
  <r>
    <x v="0"/>
    <n v="2011"/>
    <x v="0"/>
    <n v="9706"/>
  </r>
  <r>
    <x v="0"/>
    <n v="2010"/>
    <x v="1"/>
    <n v="5986"/>
  </r>
  <r>
    <x v="0"/>
    <n v="2010"/>
    <x v="1"/>
    <n v="27305"/>
  </r>
  <r>
    <x v="0"/>
    <n v="2010"/>
    <x v="1"/>
    <n v="162892"/>
  </r>
  <r>
    <x v="0"/>
    <n v="2011"/>
    <x v="2"/>
    <n v="2910"/>
  </r>
  <r>
    <x v="0"/>
    <n v="2010"/>
    <x v="1"/>
    <n v="2685"/>
  </r>
  <r>
    <x v="1"/>
    <n v="2010"/>
    <x v="1"/>
    <n v="64127.15"/>
  </r>
  <r>
    <x v="1"/>
    <n v="2010"/>
    <x v="1"/>
    <n v="6827.8"/>
  </r>
  <r>
    <x v="1"/>
    <n v="2010"/>
    <x v="0"/>
    <n v="384"/>
  </r>
  <r>
    <x v="1"/>
    <n v="2010"/>
    <x v="6"/>
    <n v="255.63"/>
  </r>
  <r>
    <x v="3"/>
    <n v="2010"/>
    <x v="1"/>
    <n v="79.2"/>
  </r>
  <r>
    <x v="3"/>
    <n v="2010"/>
    <x v="1"/>
    <n v="2756.21"/>
  </r>
  <r>
    <x v="11"/>
    <n v="2010"/>
    <x v="1"/>
    <n v="1011.16"/>
  </r>
  <r>
    <x v="0"/>
    <n v="2010"/>
    <x v="1"/>
    <n v="20973"/>
  </r>
  <r>
    <x v="6"/>
    <n v="2010"/>
    <x v="1"/>
    <n v="16435"/>
  </r>
  <r>
    <x v="6"/>
    <n v="2010"/>
    <x v="11"/>
    <n v="124"/>
  </r>
  <r>
    <x v="6"/>
    <n v="2010"/>
    <x v="1"/>
    <n v="108"/>
  </r>
  <r>
    <x v="6"/>
    <n v="2010"/>
    <x v="1"/>
    <n v="5676.45"/>
  </r>
  <r>
    <x v="6"/>
    <n v="2011"/>
    <x v="1"/>
    <n v="2384.6999999999998"/>
  </r>
  <r>
    <x v="6"/>
    <n v="2010"/>
    <x v="5"/>
    <n v="425"/>
  </r>
  <r>
    <x v="13"/>
    <n v="2010"/>
    <x v="1"/>
    <n v="309.20999999999998"/>
  </r>
  <r>
    <x v="13"/>
    <n v="2010"/>
    <x v="1"/>
    <n v="144.54"/>
  </r>
  <r>
    <x v="13"/>
    <n v="2010"/>
    <x v="1"/>
    <n v="290.10000000000002"/>
  </r>
  <r>
    <x v="10"/>
    <n v="2010"/>
    <x v="4"/>
    <n v="269"/>
  </r>
  <r>
    <x v="4"/>
    <n v="2010"/>
    <x v="1"/>
    <n v="28695.9"/>
  </r>
  <r>
    <x v="7"/>
    <n v="2010"/>
    <x v="1"/>
    <n v="608607"/>
  </r>
  <r>
    <x v="8"/>
    <n v="2010"/>
    <x v="7"/>
    <n v="4600"/>
  </r>
  <r>
    <x v="8"/>
    <n v="2010"/>
    <x v="1"/>
    <n v="30602"/>
  </r>
  <r>
    <x v="8"/>
    <n v="2010"/>
    <x v="7"/>
    <n v="3800"/>
  </r>
  <r>
    <x v="12"/>
    <n v="2010"/>
    <x v="1"/>
    <n v="13834.25"/>
  </r>
  <r>
    <x v="12"/>
    <n v="2010"/>
    <x v="1"/>
    <n v="504.9"/>
  </r>
  <r>
    <x v="0"/>
    <n v="2010"/>
    <x v="1"/>
    <n v="10030"/>
  </r>
  <r>
    <x v="0"/>
    <n v="2010"/>
    <x v="0"/>
    <n v="9085"/>
  </r>
  <r>
    <x v="9"/>
    <n v="2010"/>
    <x v="7"/>
    <n v="57330"/>
  </r>
  <r>
    <x v="9"/>
    <n v="2010"/>
    <x v="1"/>
    <n v="9199.48"/>
  </r>
  <r>
    <x v="14"/>
    <n v="2010"/>
    <x v="2"/>
    <n v="97847"/>
  </r>
  <r>
    <x v="1"/>
    <n v="2010"/>
    <x v="1"/>
    <n v="2874"/>
  </r>
  <r>
    <x v="1"/>
    <n v="2010"/>
    <x v="1"/>
    <n v="4914.33"/>
  </r>
  <r>
    <x v="1"/>
    <n v="2010"/>
    <x v="7"/>
    <n v="2321"/>
  </r>
  <r>
    <x v="1"/>
    <n v="2010"/>
    <x v="1"/>
    <n v="1291.6199999999999"/>
  </r>
  <r>
    <x v="1"/>
    <n v="2011"/>
    <x v="0"/>
    <n v="390"/>
  </r>
  <r>
    <x v="1"/>
    <n v="2010"/>
    <x v="11"/>
    <n v="143"/>
  </r>
  <r>
    <x v="5"/>
    <n v="2010"/>
    <x v="1"/>
    <n v="8374.09"/>
  </r>
  <r>
    <x v="5"/>
    <n v="2010"/>
    <x v="1"/>
    <n v="861.6"/>
  </r>
  <r>
    <x v="2"/>
    <n v="2010"/>
    <x v="1"/>
    <n v="2536.56"/>
  </r>
  <r>
    <x v="2"/>
    <n v="2010"/>
    <x v="1"/>
    <n v="2679"/>
  </r>
  <r>
    <x v="2"/>
    <n v="2011"/>
    <x v="7"/>
    <n v="676"/>
  </r>
  <r>
    <x v="2"/>
    <n v="2010"/>
    <x v="1"/>
    <n v="46581.57"/>
  </r>
  <r>
    <x v="2"/>
    <n v="2010"/>
    <x v="1"/>
    <n v="9072.4"/>
  </r>
  <r>
    <x v="2"/>
    <n v="2010"/>
    <x v="1"/>
    <n v="2075.7800000000002"/>
  </r>
  <r>
    <x v="2"/>
    <n v="2010"/>
    <x v="1"/>
    <n v="86.53"/>
  </r>
  <r>
    <x v="2"/>
    <n v="2010"/>
    <x v="2"/>
    <n v="365.55"/>
  </r>
  <r>
    <x v="2"/>
    <n v="2010"/>
    <x v="7"/>
    <n v="15.13"/>
  </r>
  <r>
    <x v="2"/>
    <n v="2010"/>
    <x v="1"/>
    <n v="149.76"/>
  </r>
  <r>
    <x v="2"/>
    <n v="2010"/>
    <x v="1"/>
    <n v="5829.89"/>
  </r>
  <r>
    <x v="2"/>
    <n v="2010"/>
    <x v="1"/>
    <n v="413"/>
  </r>
  <r>
    <x v="2"/>
    <n v="2010"/>
    <x v="1"/>
    <n v="277.49"/>
  </r>
  <r>
    <x v="2"/>
    <n v="2010"/>
    <x v="4"/>
    <n v="85.71"/>
  </r>
  <r>
    <x v="2"/>
    <n v="2011"/>
    <x v="1"/>
    <n v="148"/>
  </r>
  <r>
    <x v="2"/>
    <n v="2010"/>
    <x v="8"/>
    <n v="424"/>
  </r>
  <r>
    <x v="2"/>
    <n v="2010"/>
    <x v="1"/>
    <n v="1817.6"/>
  </r>
  <r>
    <x v="2"/>
    <n v="2010"/>
    <x v="2"/>
    <n v="274.22000000000003"/>
  </r>
  <r>
    <x v="3"/>
    <n v="2010"/>
    <x v="1"/>
    <n v="809.5"/>
  </r>
  <r>
    <x v="0"/>
    <n v="2010"/>
    <x v="1"/>
    <n v="453757"/>
  </r>
  <r>
    <x v="0"/>
    <n v="2010"/>
    <x v="1"/>
    <n v="120865"/>
  </r>
  <r>
    <x v="0"/>
    <n v="2010"/>
    <x v="1"/>
    <n v="72803"/>
  </r>
  <r>
    <x v="0"/>
    <n v="2010"/>
    <x v="9"/>
    <n v="69967"/>
  </r>
  <r>
    <x v="0"/>
    <n v="2010"/>
    <x v="9"/>
    <n v="109180"/>
  </r>
  <r>
    <x v="0"/>
    <n v="2010"/>
    <x v="1"/>
    <n v="236931"/>
  </r>
  <r>
    <x v="0"/>
    <n v="2010"/>
    <x v="1"/>
    <n v="51854"/>
  </r>
  <r>
    <x v="0"/>
    <n v="2010"/>
    <x v="1"/>
    <n v="167494"/>
  </r>
  <r>
    <x v="0"/>
    <n v="2010"/>
    <x v="1"/>
    <n v="10722"/>
  </r>
  <r>
    <x v="0"/>
    <n v="2010"/>
    <x v="1"/>
    <n v="941734"/>
  </r>
  <r>
    <x v="0"/>
    <n v="2010"/>
    <x v="1"/>
    <n v="172135"/>
  </r>
  <r>
    <x v="0"/>
    <n v="2010"/>
    <x v="1"/>
    <n v="598973"/>
  </r>
  <r>
    <x v="0"/>
    <n v="2010"/>
    <x v="1"/>
    <n v="7641"/>
  </r>
  <r>
    <x v="0"/>
    <n v="2011"/>
    <x v="7"/>
    <n v="4555"/>
  </r>
  <r>
    <x v="0"/>
    <n v="2010"/>
    <x v="1"/>
    <n v="122197"/>
  </r>
  <r>
    <x v="0"/>
    <n v="2010"/>
    <x v="1"/>
    <n v="127498"/>
  </r>
  <r>
    <x v="4"/>
    <n v="2010"/>
    <x v="1"/>
    <n v="11910"/>
  </r>
  <r>
    <x v="7"/>
    <n v="2010"/>
    <x v="1"/>
    <n v="79893"/>
  </r>
  <r>
    <x v="7"/>
    <n v="2010"/>
    <x v="1"/>
    <n v="125825"/>
  </r>
  <r>
    <x v="8"/>
    <n v="2010"/>
    <x v="0"/>
    <n v="5760"/>
  </r>
  <r>
    <x v="8"/>
    <n v="2010"/>
    <x v="6"/>
    <n v="8263"/>
  </r>
  <r>
    <x v="8"/>
    <n v="2010"/>
    <x v="2"/>
    <n v="3470"/>
  </r>
  <r>
    <x v="8"/>
    <n v="2010"/>
    <x v="6"/>
    <n v="715"/>
  </r>
  <r>
    <x v="12"/>
    <n v="2010"/>
    <x v="1"/>
    <n v="7548.06"/>
  </r>
  <r>
    <x v="9"/>
    <n v="2010"/>
    <x v="7"/>
    <n v="3049.8"/>
  </r>
  <r>
    <x v="9"/>
    <n v="2010"/>
    <x v="1"/>
    <n v="27537.4"/>
  </r>
  <r>
    <x v="9"/>
    <n v="2010"/>
    <x v="1"/>
    <n v="782502.71"/>
  </r>
  <r>
    <x v="9"/>
    <n v="2010"/>
    <x v="7"/>
    <n v="61933.32"/>
  </r>
  <r>
    <x v="9"/>
    <n v="2010"/>
    <x v="1"/>
    <n v="10788"/>
  </r>
  <r>
    <x v="14"/>
    <n v="2010"/>
    <x v="1"/>
    <n v="50768"/>
  </r>
  <r>
    <x v="14"/>
    <n v="2010"/>
    <x v="1"/>
    <n v="21867.4"/>
  </r>
  <r>
    <x v="14"/>
    <n v="2010"/>
    <x v="1"/>
    <n v="67000.800000000003"/>
  </r>
  <r>
    <x v="14"/>
    <n v="2010"/>
    <x v="0"/>
    <n v="15516"/>
  </r>
  <r>
    <x v="14"/>
    <n v="2011"/>
    <x v="6"/>
    <n v="2008"/>
  </r>
  <r>
    <x v="14"/>
    <n v="2011"/>
    <x v="0"/>
    <n v="6633.36"/>
  </r>
  <r>
    <x v="14"/>
    <n v="2011"/>
    <x v="4"/>
    <n v="25614.36"/>
  </r>
  <r>
    <x v="14"/>
    <n v="2011"/>
    <x v="0"/>
    <n v="1668.33"/>
  </r>
  <r>
    <x v="14"/>
    <n v="2010"/>
    <x v="1"/>
    <n v="30024"/>
  </r>
  <r>
    <x v="3"/>
    <n v="2010"/>
    <x v="1"/>
    <n v="12372.23"/>
  </r>
  <r>
    <x v="3"/>
    <n v="2010"/>
    <x v="1"/>
    <n v="16344.89"/>
  </r>
  <r>
    <x v="3"/>
    <n v="2010"/>
    <x v="7"/>
    <n v="2447"/>
  </r>
  <r>
    <x v="3"/>
    <n v="2010"/>
    <x v="7"/>
    <n v="3373.3"/>
  </r>
  <r>
    <x v="1"/>
    <n v="2010"/>
    <x v="1"/>
    <n v="29881.360000000001"/>
  </r>
  <r>
    <x v="1"/>
    <n v="2010"/>
    <x v="1"/>
    <n v="8071.39"/>
  </r>
  <r>
    <x v="1"/>
    <n v="2010"/>
    <x v="1"/>
    <n v="7793.77"/>
  </r>
  <r>
    <x v="1"/>
    <n v="2010"/>
    <x v="1"/>
    <n v="3141.03"/>
  </r>
  <r>
    <x v="2"/>
    <n v="2010"/>
    <x v="1"/>
    <n v="1147.42"/>
  </r>
  <r>
    <x v="2"/>
    <n v="2010"/>
    <x v="1"/>
    <n v="179"/>
  </r>
  <r>
    <x v="3"/>
    <n v="2010"/>
    <x v="1"/>
    <n v="2882.04"/>
  </r>
  <r>
    <x v="0"/>
    <n v="2010"/>
    <x v="1"/>
    <n v="18956"/>
  </r>
  <r>
    <x v="0"/>
    <n v="2010"/>
    <x v="2"/>
    <n v="3375"/>
  </r>
  <r>
    <x v="6"/>
    <n v="2011"/>
    <x v="6"/>
    <n v="892"/>
  </r>
  <r>
    <x v="6"/>
    <n v="2011"/>
    <x v="4"/>
    <n v="1921"/>
  </r>
  <r>
    <x v="10"/>
    <n v="2010"/>
    <x v="1"/>
    <n v="344.97"/>
  </r>
  <r>
    <x v="4"/>
    <n v="2010"/>
    <x v="1"/>
    <n v="176040.35"/>
  </r>
  <r>
    <x v="7"/>
    <n v="2010"/>
    <x v="1"/>
    <n v="130185"/>
  </r>
  <r>
    <x v="7"/>
    <n v="2010"/>
    <x v="10"/>
    <n v="454683"/>
  </r>
  <r>
    <x v="4"/>
    <n v="2010"/>
    <x v="1"/>
    <n v="1014808.1499999999"/>
  </r>
  <r>
    <x v="4"/>
    <n v="2010"/>
    <x v="1"/>
    <n v="316010.95"/>
  </r>
  <r>
    <x v="4"/>
    <n v="2010"/>
    <x v="1"/>
    <n v="38328.1"/>
  </r>
  <r>
    <x v="4"/>
    <n v="2010"/>
    <x v="2"/>
    <n v="2435"/>
  </r>
  <r>
    <x v="4"/>
    <n v="2011"/>
    <x v="6"/>
    <n v="167910"/>
  </r>
  <r>
    <x v="4"/>
    <n v="2010"/>
    <x v="1"/>
    <n v="68373"/>
  </r>
  <r>
    <x v="8"/>
    <n v="2010"/>
    <x v="1"/>
    <n v="4000"/>
  </r>
  <r>
    <x v="12"/>
    <n v="2010"/>
    <x v="1"/>
    <n v="3771.87"/>
  </r>
  <r>
    <x v="14"/>
    <n v="2010"/>
    <x v="5"/>
    <n v="28380"/>
  </r>
  <r>
    <x v="1"/>
    <n v="2011"/>
    <x v="6"/>
    <n v="14517.44"/>
  </r>
  <r>
    <x v="1"/>
    <n v="2011"/>
    <x v="6"/>
    <n v="12704.22"/>
  </r>
  <r>
    <x v="6"/>
    <n v="2011"/>
    <x v="7"/>
    <n v="1758"/>
  </r>
  <r>
    <x v="6"/>
    <n v="2011"/>
    <x v="2"/>
    <n v="264"/>
  </r>
  <r>
    <x v="6"/>
    <n v="2011"/>
    <x v="7"/>
    <n v="1422"/>
  </r>
  <r>
    <x v="6"/>
    <n v="2011"/>
    <x v="7"/>
    <n v="247"/>
  </r>
  <r>
    <x v="5"/>
    <n v="2010"/>
    <x v="1"/>
    <n v="8560.4000000000015"/>
  </r>
  <r>
    <x v="5"/>
    <n v="2010"/>
    <x v="1"/>
    <n v="2727.79"/>
  </r>
  <r>
    <x v="5"/>
    <n v="2010"/>
    <x v="1"/>
    <n v="45114.239999999998"/>
  </r>
  <r>
    <x v="5"/>
    <n v="2010"/>
    <x v="7"/>
    <n v="1412.96"/>
  </r>
  <r>
    <x v="5"/>
    <n v="2010"/>
    <x v="7"/>
    <n v="79.23"/>
  </r>
  <r>
    <x v="5"/>
    <n v="2010"/>
    <x v="1"/>
    <n v="12765.34"/>
  </r>
  <r>
    <x v="5"/>
    <n v="2010"/>
    <x v="1"/>
    <n v="4183.17"/>
  </r>
  <r>
    <x v="5"/>
    <n v="2010"/>
    <x v="1"/>
    <n v="0"/>
  </r>
  <r>
    <x v="5"/>
    <n v="2010"/>
    <x v="1"/>
    <n v="2790"/>
  </r>
  <r>
    <x v="5"/>
    <n v="2010"/>
    <x v="1"/>
    <n v="1615.19"/>
  </r>
  <r>
    <x v="6"/>
    <n v="2010"/>
    <x v="1"/>
    <n v="18223"/>
  </r>
  <r>
    <x v="6"/>
    <n v="2010"/>
    <x v="1"/>
    <n v="68720"/>
  </r>
  <r>
    <x v="6"/>
    <n v="2010"/>
    <x v="1"/>
    <n v="39016"/>
  </r>
  <r>
    <x v="0"/>
    <n v="2010"/>
    <x v="1"/>
    <n v="5990"/>
  </r>
  <r>
    <x v="0"/>
    <n v="2010"/>
    <x v="1"/>
    <n v="11886"/>
  </r>
  <r>
    <x v="0"/>
    <n v="2010"/>
    <x v="1"/>
    <n v="56670"/>
  </r>
  <r>
    <x v="0"/>
    <n v="2010"/>
    <x v="1"/>
    <n v="1400"/>
  </r>
  <r>
    <x v="0"/>
    <n v="2010"/>
    <x v="7"/>
    <n v="5675"/>
  </r>
  <r>
    <x v="0"/>
    <n v="2010"/>
    <x v="1"/>
    <n v="3160"/>
  </r>
  <r>
    <x v="0"/>
    <n v="2010"/>
    <x v="1"/>
    <n v="10923"/>
  </r>
  <r>
    <x v="0"/>
    <n v="2011"/>
    <x v="2"/>
    <n v="11610"/>
  </r>
  <r>
    <x v="0"/>
    <n v="2010"/>
    <x v="1"/>
    <n v="1052"/>
  </r>
  <r>
    <x v="0"/>
    <n v="2010"/>
    <x v="6"/>
    <n v="3027"/>
  </r>
  <r>
    <x v="0"/>
    <n v="2010"/>
    <x v="1"/>
    <n v="7795"/>
  </r>
  <r>
    <x v="0"/>
    <n v="2010"/>
    <x v="1"/>
    <n v="202378"/>
  </r>
  <r>
    <x v="4"/>
    <n v="2011"/>
    <x v="1"/>
    <n v="4400"/>
  </r>
  <r>
    <x v="4"/>
    <n v="2010"/>
    <x v="1"/>
    <n v="36459.85"/>
  </r>
  <r>
    <x v="8"/>
    <n v="2010"/>
    <x v="1"/>
    <n v="1935"/>
  </r>
  <r>
    <x v="8"/>
    <n v="2011"/>
    <x v="6"/>
    <n v="2390"/>
  </r>
  <r>
    <x v="8"/>
    <n v="2010"/>
    <x v="5"/>
    <n v="1010"/>
  </r>
  <r>
    <x v="8"/>
    <n v="2010"/>
    <x v="1"/>
    <n v="5140"/>
  </r>
  <r>
    <x v="8"/>
    <n v="2010"/>
    <x v="1"/>
    <n v="57774"/>
  </r>
  <r>
    <x v="8"/>
    <n v="2010"/>
    <x v="7"/>
    <n v="3990"/>
  </r>
  <r>
    <x v="8"/>
    <n v="2010"/>
    <x v="1"/>
    <n v="10065"/>
  </r>
  <r>
    <x v="0"/>
    <n v="2011"/>
    <x v="0"/>
    <n v="8312"/>
  </r>
  <r>
    <x v="2"/>
    <n v="2010"/>
    <x v="1"/>
    <n v="918"/>
  </r>
  <r>
    <x v="14"/>
    <n v="2011"/>
    <x v="1"/>
    <n v="8020"/>
  </r>
  <r>
    <x v="0"/>
    <n v="2011"/>
    <x v="4"/>
    <n v="7651"/>
  </r>
  <r>
    <x v="10"/>
    <n v="2010"/>
    <x v="0"/>
    <n v="989"/>
  </r>
  <r>
    <x v="0"/>
    <n v="2010"/>
    <x v="11"/>
    <n v="91040"/>
  </r>
  <r>
    <x v="0"/>
    <n v="2010"/>
    <x v="1"/>
    <n v="3748"/>
  </r>
  <r>
    <x v="0"/>
    <n v="2010"/>
    <x v="11"/>
    <n v="2796"/>
  </r>
  <r>
    <x v="8"/>
    <n v="2010"/>
    <x v="1"/>
    <n v="19720"/>
  </r>
  <r>
    <x v="6"/>
    <n v="2010"/>
    <x v="2"/>
    <n v="1086"/>
  </r>
  <r>
    <x v="6"/>
    <n v="2010"/>
    <x v="1"/>
    <n v="16341"/>
  </r>
  <r>
    <x v="8"/>
    <n v="2010"/>
    <x v="1"/>
    <n v="14108"/>
  </r>
  <r>
    <x v="9"/>
    <n v="2010"/>
    <x v="1"/>
    <n v="100848.3"/>
  </r>
  <r>
    <x v="0"/>
    <n v="2010"/>
    <x v="1"/>
    <n v="14804"/>
  </r>
  <r>
    <x v="0"/>
    <n v="2010"/>
    <x v="7"/>
    <n v="500"/>
  </r>
  <r>
    <x v="1"/>
    <n v="2010"/>
    <x v="1"/>
    <n v="1268"/>
  </r>
  <r>
    <x v="1"/>
    <n v="2010"/>
    <x v="1"/>
    <n v="1470"/>
  </r>
  <r>
    <x v="0"/>
    <n v="2011"/>
    <x v="0"/>
    <n v="2845"/>
  </r>
  <r>
    <x v="0"/>
    <n v="2010"/>
    <x v="0"/>
    <n v="3235"/>
  </r>
  <r>
    <x v="2"/>
    <n v="2010"/>
    <x v="2"/>
    <n v="726.04"/>
  </r>
  <r>
    <x v="2"/>
    <n v="2010"/>
    <x v="1"/>
    <n v="179.83"/>
  </r>
  <r>
    <x v="0"/>
    <n v="2010"/>
    <x v="9"/>
    <n v="8560"/>
  </r>
  <r>
    <x v="0"/>
    <n v="2010"/>
    <x v="1"/>
    <n v="420"/>
  </r>
  <r>
    <x v="0"/>
    <n v="2011"/>
    <x v="7"/>
    <n v="5713"/>
  </r>
  <r>
    <x v="0"/>
    <n v="2010"/>
    <x v="1"/>
    <n v="37286"/>
  </r>
  <r>
    <x v="0"/>
    <n v="2010"/>
    <x v="4"/>
    <n v="1990"/>
  </r>
  <r>
    <x v="0"/>
    <n v="2010"/>
    <x v="1"/>
    <n v="8950"/>
  </r>
  <r>
    <x v="12"/>
    <n v="2010"/>
    <x v="1"/>
    <n v="11288.03"/>
  </r>
  <r>
    <x v="0"/>
    <n v="2010"/>
    <x v="6"/>
    <n v="2451"/>
  </r>
  <r>
    <x v="0"/>
    <n v="2010"/>
    <x v="1"/>
    <n v="9240"/>
  </r>
  <r>
    <x v="6"/>
    <n v="2010"/>
    <x v="1"/>
    <n v="2234"/>
  </r>
  <r>
    <x v="0"/>
    <n v="2010"/>
    <x v="11"/>
    <n v="2235"/>
  </r>
  <r>
    <x v="0"/>
    <n v="2010"/>
    <x v="7"/>
    <n v="1118"/>
  </r>
  <r>
    <x v="4"/>
    <n v="2010"/>
    <x v="1"/>
    <n v="253485"/>
  </r>
  <r>
    <x v="4"/>
    <n v="2011"/>
    <x v="7"/>
    <n v="16905"/>
  </r>
  <r>
    <x v="8"/>
    <n v="2010"/>
    <x v="1"/>
    <n v="1025647"/>
  </r>
  <r>
    <x v="8"/>
    <n v="2010"/>
    <x v="1"/>
    <n v="4175"/>
  </r>
  <r>
    <x v="8"/>
    <n v="2010"/>
    <x v="1"/>
    <n v="3285"/>
  </r>
  <r>
    <x v="8"/>
    <n v="2010"/>
    <x v="1"/>
    <n v="17777"/>
  </r>
  <r>
    <x v="8"/>
    <n v="2010"/>
    <x v="1"/>
    <n v="6455"/>
  </r>
  <r>
    <x v="8"/>
    <n v="2010"/>
    <x v="1"/>
    <n v="21445"/>
  </r>
  <r>
    <x v="8"/>
    <n v="2010"/>
    <x v="1"/>
    <n v="152312"/>
  </r>
  <r>
    <x v="8"/>
    <n v="2010"/>
    <x v="1"/>
    <n v="514290"/>
  </r>
  <r>
    <x v="8"/>
    <n v="2010"/>
    <x v="10"/>
    <n v="2740"/>
  </r>
  <r>
    <x v="8"/>
    <n v="2010"/>
    <x v="1"/>
    <n v="2085"/>
  </r>
  <r>
    <x v="8"/>
    <n v="2010"/>
    <x v="4"/>
    <n v="960"/>
  </r>
  <r>
    <x v="8"/>
    <n v="2010"/>
    <x v="1"/>
    <n v="2190"/>
  </r>
  <r>
    <x v="0"/>
    <n v="2010"/>
    <x v="4"/>
    <n v="8170"/>
  </r>
  <r>
    <x v="0"/>
    <n v="2010"/>
    <x v="1"/>
    <n v="3276"/>
  </r>
  <r>
    <x v="1"/>
    <n v="2010"/>
    <x v="9"/>
    <n v="561.48"/>
  </r>
  <r>
    <x v="1"/>
    <n v="2010"/>
    <x v="10"/>
    <n v="24704.65"/>
  </r>
  <r>
    <x v="1"/>
    <n v="2010"/>
    <x v="1"/>
    <n v="15795.06"/>
  </r>
  <r>
    <x v="1"/>
    <n v="2010"/>
    <x v="10"/>
    <n v="11235.869999999999"/>
  </r>
  <r>
    <x v="1"/>
    <n v="2010"/>
    <x v="1"/>
    <n v="1648.75"/>
  </r>
  <r>
    <x v="1"/>
    <n v="2010"/>
    <x v="1"/>
    <n v="26939.599999999999"/>
  </r>
  <r>
    <x v="1"/>
    <n v="2010"/>
    <x v="10"/>
    <n v="186747.38"/>
  </r>
  <r>
    <x v="1"/>
    <n v="2010"/>
    <x v="1"/>
    <n v="46710.53"/>
  </r>
  <r>
    <x v="1"/>
    <n v="2010"/>
    <x v="5"/>
    <n v="3436.76"/>
  </r>
  <r>
    <x v="1"/>
    <n v="2010"/>
    <x v="1"/>
    <n v="14273.36"/>
  </r>
  <r>
    <x v="1"/>
    <n v="2010"/>
    <x v="10"/>
    <n v="18324.7"/>
  </r>
  <r>
    <x v="1"/>
    <n v="2010"/>
    <x v="10"/>
    <n v="4793.8"/>
  </r>
  <r>
    <x v="1"/>
    <n v="2010"/>
    <x v="1"/>
    <n v="19397.439999999999"/>
  </r>
  <r>
    <x v="1"/>
    <n v="2010"/>
    <x v="1"/>
    <n v="28849"/>
  </r>
  <r>
    <x v="1"/>
    <n v="2010"/>
    <x v="10"/>
    <n v="21371"/>
  </r>
  <r>
    <x v="1"/>
    <n v="2010"/>
    <x v="1"/>
    <n v="8369"/>
  </r>
  <r>
    <x v="1"/>
    <n v="2010"/>
    <x v="10"/>
    <n v="5943"/>
  </r>
  <r>
    <x v="1"/>
    <n v="2010"/>
    <x v="2"/>
    <n v="3200"/>
  </r>
  <r>
    <x v="1"/>
    <n v="2010"/>
    <x v="1"/>
    <n v="50788.7"/>
  </r>
  <r>
    <x v="1"/>
    <n v="2011"/>
    <x v="4"/>
    <n v="73.5"/>
  </r>
  <r>
    <x v="1"/>
    <n v="2010"/>
    <x v="6"/>
    <n v="387"/>
  </r>
  <r>
    <x v="5"/>
    <n v="2010"/>
    <x v="1"/>
    <n v="186"/>
  </r>
  <r>
    <x v="2"/>
    <n v="2010"/>
    <x v="1"/>
    <n v="4438.79"/>
  </r>
  <r>
    <x v="2"/>
    <n v="2010"/>
    <x v="1"/>
    <n v="4095.54"/>
  </r>
  <r>
    <x v="2"/>
    <n v="2010"/>
    <x v="3"/>
    <n v="1021"/>
  </r>
  <r>
    <x v="7"/>
    <n v="2010"/>
    <x v="1"/>
    <n v="63954"/>
  </r>
  <r>
    <x v="12"/>
    <n v="2010"/>
    <x v="7"/>
    <n v="1560.98"/>
  </r>
  <r>
    <x v="14"/>
    <n v="2010"/>
    <x v="7"/>
    <n v="22046.400000000001"/>
  </r>
  <r>
    <x v="5"/>
    <n v="2010"/>
    <x v="1"/>
    <n v="3143"/>
  </r>
  <r>
    <x v="5"/>
    <n v="2010"/>
    <x v="5"/>
    <n v="515"/>
  </r>
  <r>
    <x v="1"/>
    <n v="2010"/>
    <x v="1"/>
    <n v="560"/>
  </r>
  <r>
    <x v="0"/>
    <n v="2010"/>
    <x v="1"/>
    <n v="36855"/>
  </r>
  <r>
    <x v="0"/>
    <n v="2010"/>
    <x v="1"/>
    <n v="46307"/>
  </r>
  <r>
    <x v="0"/>
    <n v="2010"/>
    <x v="0"/>
    <n v="29450"/>
  </r>
  <r>
    <x v="0"/>
    <n v="2010"/>
    <x v="1"/>
    <n v="12478"/>
  </r>
  <r>
    <x v="0"/>
    <n v="2010"/>
    <x v="1"/>
    <n v="7478"/>
  </r>
  <r>
    <x v="4"/>
    <n v="2010"/>
    <x v="1"/>
    <n v="940"/>
  </r>
  <r>
    <x v="8"/>
    <n v="2010"/>
    <x v="1"/>
    <n v="142250"/>
  </r>
  <r>
    <x v="0"/>
    <n v="2011"/>
    <x v="7"/>
    <n v="757"/>
  </r>
  <r>
    <x v="0"/>
    <n v="2010"/>
    <x v="1"/>
    <n v="9990"/>
  </r>
  <r>
    <x v="0"/>
    <n v="2010"/>
    <x v="11"/>
    <n v="3734"/>
  </r>
  <r>
    <x v="0"/>
    <n v="2010"/>
    <x v="9"/>
    <n v="45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x v="0"/>
    <x v="0"/>
    <x v="0"/>
    <n v="1"/>
    <x v="0"/>
  </r>
  <r>
    <x v="0"/>
    <x v="0"/>
    <x v="1"/>
    <n v="5"/>
    <x v="1"/>
  </r>
  <r>
    <x v="1"/>
    <x v="1"/>
    <x v="2"/>
    <n v="3"/>
    <x v="2"/>
  </r>
  <r>
    <x v="1"/>
    <x v="0"/>
    <x v="1"/>
    <n v="119"/>
    <x v="3"/>
  </r>
  <r>
    <x v="1"/>
    <x v="0"/>
    <x v="1"/>
    <n v="195"/>
    <x v="4"/>
  </r>
  <r>
    <x v="2"/>
    <x v="0"/>
    <x v="1"/>
    <n v="32"/>
    <x v="5"/>
  </r>
  <r>
    <x v="2"/>
    <x v="0"/>
    <x v="3"/>
    <n v="1"/>
    <x v="6"/>
  </r>
  <r>
    <x v="3"/>
    <x v="0"/>
    <x v="1"/>
    <n v="16"/>
    <x v="7"/>
  </r>
  <r>
    <x v="4"/>
    <x v="0"/>
    <x v="1"/>
    <n v="10"/>
    <x v="8"/>
  </r>
  <r>
    <x v="0"/>
    <x v="0"/>
    <x v="1"/>
    <n v="33"/>
    <x v="9"/>
  </r>
  <r>
    <x v="0"/>
    <x v="0"/>
    <x v="1"/>
    <n v="5"/>
    <x v="10"/>
  </r>
  <r>
    <x v="0"/>
    <x v="0"/>
    <x v="4"/>
    <n v="3"/>
    <x v="11"/>
  </r>
  <r>
    <x v="0"/>
    <x v="0"/>
    <x v="4"/>
    <n v="12"/>
    <x v="12"/>
  </r>
  <r>
    <x v="1"/>
    <x v="0"/>
    <x v="1"/>
    <n v="240"/>
    <x v="13"/>
  </r>
  <r>
    <x v="1"/>
    <x v="0"/>
    <x v="1"/>
    <n v="87"/>
    <x v="14"/>
  </r>
  <r>
    <x v="1"/>
    <x v="0"/>
    <x v="1"/>
    <n v="1"/>
    <x v="15"/>
  </r>
  <r>
    <x v="5"/>
    <x v="0"/>
    <x v="1"/>
    <n v="73"/>
    <x v="16"/>
  </r>
  <r>
    <x v="2"/>
    <x v="0"/>
    <x v="1"/>
    <n v="53.857142857142861"/>
    <x v="17"/>
  </r>
  <r>
    <x v="3"/>
    <x v="0"/>
    <x v="1"/>
    <n v="7"/>
    <x v="18"/>
  </r>
  <r>
    <x v="0"/>
    <x v="0"/>
    <x v="1"/>
    <n v="29"/>
    <x v="19"/>
  </r>
  <r>
    <x v="6"/>
    <x v="0"/>
    <x v="5"/>
    <n v="2"/>
    <x v="20"/>
  </r>
  <r>
    <x v="6"/>
    <x v="0"/>
    <x v="1"/>
    <n v="8"/>
    <x v="21"/>
  </r>
  <r>
    <x v="7"/>
    <x v="0"/>
    <x v="4"/>
    <n v="2"/>
    <x v="22"/>
  </r>
  <r>
    <x v="8"/>
    <x v="0"/>
    <x v="1"/>
    <n v="14"/>
    <x v="23"/>
  </r>
  <r>
    <x v="0"/>
    <x v="0"/>
    <x v="1"/>
    <n v="53"/>
    <x v="24"/>
  </r>
  <r>
    <x v="0"/>
    <x v="0"/>
    <x v="1"/>
    <n v="25"/>
    <x v="25"/>
  </r>
  <r>
    <x v="0"/>
    <x v="0"/>
    <x v="1"/>
    <n v="1"/>
    <x v="26"/>
  </r>
  <r>
    <x v="0"/>
    <x v="1"/>
    <x v="2"/>
    <n v="2"/>
    <x v="27"/>
  </r>
  <r>
    <x v="0"/>
    <x v="0"/>
    <x v="1"/>
    <n v="158"/>
    <x v="28"/>
  </r>
  <r>
    <x v="0"/>
    <x v="0"/>
    <x v="1"/>
    <n v="119"/>
    <x v="29"/>
  </r>
  <r>
    <x v="0"/>
    <x v="0"/>
    <x v="1"/>
    <n v="6"/>
    <x v="30"/>
  </r>
  <r>
    <x v="0"/>
    <x v="0"/>
    <x v="4"/>
    <n v="1"/>
    <x v="31"/>
  </r>
  <r>
    <x v="0"/>
    <x v="0"/>
    <x v="1"/>
    <n v="4"/>
    <x v="32"/>
  </r>
  <r>
    <x v="3"/>
    <x v="0"/>
    <x v="1"/>
    <n v="1"/>
    <x v="33"/>
  </r>
  <r>
    <x v="9"/>
    <x v="0"/>
    <x v="1"/>
    <n v="69"/>
    <x v="34"/>
  </r>
  <r>
    <x v="9"/>
    <x v="0"/>
    <x v="1"/>
    <n v="9"/>
    <x v="35"/>
  </r>
  <r>
    <x v="9"/>
    <x v="0"/>
    <x v="1"/>
    <n v="14"/>
    <x v="36"/>
  </r>
  <r>
    <x v="0"/>
    <x v="0"/>
    <x v="1"/>
    <n v="40"/>
    <x v="37"/>
  </r>
  <r>
    <x v="2"/>
    <x v="0"/>
    <x v="6"/>
    <n v="1"/>
    <x v="38"/>
  </r>
  <r>
    <x v="2"/>
    <x v="0"/>
    <x v="1"/>
    <n v="0"/>
    <x v="39"/>
  </r>
  <r>
    <x v="2"/>
    <x v="0"/>
    <x v="1"/>
    <n v="4"/>
    <x v="40"/>
  </r>
  <r>
    <x v="2"/>
    <x v="0"/>
    <x v="1"/>
    <n v="30.071428571428573"/>
    <x v="41"/>
  </r>
  <r>
    <x v="2"/>
    <x v="0"/>
    <x v="0"/>
    <n v="1"/>
    <x v="42"/>
  </r>
  <r>
    <x v="2"/>
    <x v="0"/>
    <x v="1"/>
    <n v="1"/>
    <x v="39"/>
  </r>
  <r>
    <x v="2"/>
    <x v="0"/>
    <x v="1"/>
    <n v="3"/>
    <x v="43"/>
  </r>
  <r>
    <x v="2"/>
    <x v="0"/>
    <x v="1"/>
    <n v="5"/>
    <x v="44"/>
  </r>
  <r>
    <x v="2"/>
    <x v="0"/>
    <x v="1"/>
    <n v="1"/>
    <x v="39"/>
  </r>
  <r>
    <x v="2"/>
    <x v="0"/>
    <x v="7"/>
    <n v="3"/>
    <x v="45"/>
  </r>
  <r>
    <x v="2"/>
    <x v="0"/>
    <x v="1"/>
    <n v="6"/>
    <x v="46"/>
  </r>
  <r>
    <x v="2"/>
    <x v="0"/>
    <x v="1"/>
    <n v="2"/>
    <x v="38"/>
  </r>
  <r>
    <x v="2"/>
    <x v="0"/>
    <x v="8"/>
    <n v="1"/>
    <x v="39"/>
  </r>
  <r>
    <x v="2"/>
    <x v="0"/>
    <x v="1"/>
    <n v="1"/>
    <x v="47"/>
  </r>
  <r>
    <x v="2"/>
    <x v="0"/>
    <x v="7"/>
    <n v="1"/>
    <x v="48"/>
  </r>
  <r>
    <x v="2"/>
    <x v="0"/>
    <x v="1"/>
    <n v="1"/>
    <x v="39"/>
  </r>
  <r>
    <x v="2"/>
    <x v="0"/>
    <x v="1"/>
    <n v="1"/>
    <x v="49"/>
  </r>
  <r>
    <x v="2"/>
    <x v="0"/>
    <x v="1"/>
    <n v="2"/>
    <x v="50"/>
  </r>
  <r>
    <x v="2"/>
    <x v="0"/>
    <x v="1"/>
    <n v="14"/>
    <x v="51"/>
  </r>
  <r>
    <x v="2"/>
    <x v="0"/>
    <x v="1"/>
    <n v="2"/>
    <x v="52"/>
  </r>
  <r>
    <x v="2"/>
    <x v="0"/>
    <x v="1"/>
    <n v="2.0714285714285712"/>
    <x v="53"/>
  </r>
  <r>
    <x v="2"/>
    <x v="0"/>
    <x v="1"/>
    <n v="3"/>
    <x v="54"/>
  </r>
  <r>
    <x v="2"/>
    <x v="0"/>
    <x v="1"/>
    <n v="4"/>
    <x v="55"/>
  </r>
  <r>
    <x v="2"/>
    <x v="0"/>
    <x v="6"/>
    <n v="1"/>
    <x v="56"/>
  </r>
  <r>
    <x v="2"/>
    <x v="0"/>
    <x v="1"/>
    <n v="0"/>
    <x v="39"/>
  </r>
  <r>
    <x v="2"/>
    <x v="0"/>
    <x v="1"/>
    <n v="0"/>
    <x v="39"/>
  </r>
  <r>
    <x v="2"/>
    <x v="0"/>
    <x v="1"/>
    <n v="4"/>
    <x v="57"/>
  </r>
  <r>
    <x v="2"/>
    <x v="0"/>
    <x v="1"/>
    <n v="1"/>
    <x v="56"/>
  </r>
  <r>
    <x v="2"/>
    <x v="0"/>
    <x v="1"/>
    <n v="6"/>
    <x v="58"/>
  </r>
  <r>
    <x v="2"/>
    <x v="0"/>
    <x v="1"/>
    <n v="2"/>
    <x v="39"/>
  </r>
  <r>
    <x v="2"/>
    <x v="0"/>
    <x v="1"/>
    <n v="1"/>
    <x v="39"/>
  </r>
  <r>
    <x v="2"/>
    <x v="0"/>
    <x v="1"/>
    <n v="1"/>
    <x v="59"/>
  </r>
  <r>
    <x v="2"/>
    <x v="0"/>
    <x v="1"/>
    <n v="1"/>
    <x v="60"/>
  </r>
  <r>
    <x v="3"/>
    <x v="1"/>
    <x v="1"/>
    <n v="3"/>
    <x v="61"/>
  </r>
  <r>
    <x v="3"/>
    <x v="0"/>
    <x v="3"/>
    <n v="16"/>
    <x v="62"/>
  </r>
  <r>
    <x v="3"/>
    <x v="0"/>
    <x v="3"/>
    <n v="23"/>
    <x v="63"/>
  </r>
  <r>
    <x v="3"/>
    <x v="1"/>
    <x v="4"/>
    <n v="1"/>
    <x v="64"/>
  </r>
  <r>
    <x v="3"/>
    <x v="1"/>
    <x v="7"/>
    <n v="1"/>
    <x v="65"/>
  </r>
  <r>
    <x v="10"/>
    <x v="0"/>
    <x v="1"/>
    <n v="29"/>
    <x v="66"/>
  </r>
  <r>
    <x v="10"/>
    <x v="0"/>
    <x v="1"/>
    <n v="44"/>
    <x v="67"/>
  </r>
  <r>
    <x v="5"/>
    <x v="0"/>
    <x v="1"/>
    <n v="233"/>
    <x v="68"/>
  </r>
  <r>
    <x v="5"/>
    <x v="0"/>
    <x v="1"/>
    <n v="1728"/>
    <x v="69"/>
  </r>
  <r>
    <x v="5"/>
    <x v="0"/>
    <x v="1"/>
    <n v="11"/>
    <x v="70"/>
  </r>
  <r>
    <x v="5"/>
    <x v="0"/>
    <x v="7"/>
    <n v="1"/>
    <x v="71"/>
  </r>
  <r>
    <x v="3"/>
    <x v="0"/>
    <x v="1"/>
    <n v="4"/>
    <x v="72"/>
  </r>
  <r>
    <x v="3"/>
    <x v="0"/>
    <x v="1"/>
    <n v="1"/>
    <x v="73"/>
  </r>
  <r>
    <x v="11"/>
    <x v="0"/>
    <x v="1"/>
    <n v="3"/>
    <x v="74"/>
  </r>
  <r>
    <x v="11"/>
    <x v="0"/>
    <x v="1"/>
    <n v="5"/>
    <x v="75"/>
  </r>
  <r>
    <x v="11"/>
    <x v="0"/>
    <x v="9"/>
    <n v="1"/>
    <x v="76"/>
  </r>
  <r>
    <x v="11"/>
    <x v="0"/>
    <x v="1"/>
    <n v="1"/>
    <x v="77"/>
  </r>
  <r>
    <x v="11"/>
    <x v="0"/>
    <x v="1"/>
    <n v="2"/>
    <x v="78"/>
  </r>
  <r>
    <x v="11"/>
    <x v="0"/>
    <x v="1"/>
    <n v="2"/>
    <x v="79"/>
  </r>
  <r>
    <x v="11"/>
    <x v="0"/>
    <x v="1"/>
    <n v="22"/>
    <x v="80"/>
  </r>
  <r>
    <x v="11"/>
    <x v="0"/>
    <x v="1"/>
    <n v="4"/>
    <x v="81"/>
  </r>
  <r>
    <x v="11"/>
    <x v="0"/>
    <x v="1"/>
    <n v="9"/>
    <x v="82"/>
  </r>
  <r>
    <x v="0"/>
    <x v="0"/>
    <x v="1"/>
    <n v="20"/>
    <x v="83"/>
  </r>
  <r>
    <x v="0"/>
    <x v="0"/>
    <x v="1"/>
    <n v="5"/>
    <x v="84"/>
  </r>
  <r>
    <x v="0"/>
    <x v="0"/>
    <x v="1"/>
    <n v="8"/>
    <x v="85"/>
  </r>
  <r>
    <x v="0"/>
    <x v="0"/>
    <x v="1"/>
    <n v="15"/>
    <x v="86"/>
  </r>
  <r>
    <x v="0"/>
    <x v="0"/>
    <x v="1"/>
    <n v="27"/>
    <x v="87"/>
  </r>
  <r>
    <x v="0"/>
    <x v="0"/>
    <x v="1"/>
    <n v="153"/>
    <x v="88"/>
  </r>
  <r>
    <x v="0"/>
    <x v="0"/>
    <x v="1"/>
    <n v="37"/>
    <x v="89"/>
  </r>
  <r>
    <x v="0"/>
    <x v="0"/>
    <x v="1"/>
    <n v="3"/>
    <x v="90"/>
  </r>
  <r>
    <x v="12"/>
    <x v="0"/>
    <x v="1"/>
    <n v="7"/>
    <x v="91"/>
  </r>
  <r>
    <x v="12"/>
    <x v="0"/>
    <x v="1"/>
    <n v="28"/>
    <x v="92"/>
  </r>
  <r>
    <x v="12"/>
    <x v="0"/>
    <x v="1"/>
    <n v="8"/>
    <x v="93"/>
  </r>
  <r>
    <x v="12"/>
    <x v="0"/>
    <x v="1"/>
    <n v="8"/>
    <x v="94"/>
  </r>
  <r>
    <x v="12"/>
    <x v="0"/>
    <x v="1"/>
    <n v="51"/>
    <x v="95"/>
  </r>
  <r>
    <x v="12"/>
    <x v="1"/>
    <x v="1"/>
    <n v="9"/>
    <x v="96"/>
  </r>
  <r>
    <x v="12"/>
    <x v="0"/>
    <x v="1"/>
    <n v="29"/>
    <x v="97"/>
  </r>
  <r>
    <x v="0"/>
    <x v="1"/>
    <x v="4"/>
    <n v="18"/>
    <x v="98"/>
  </r>
  <r>
    <x v="0"/>
    <x v="0"/>
    <x v="1"/>
    <n v="3"/>
    <x v="99"/>
  </r>
  <r>
    <x v="2"/>
    <x v="0"/>
    <x v="1"/>
    <n v="1"/>
    <x v="100"/>
  </r>
  <r>
    <x v="0"/>
    <x v="0"/>
    <x v="1"/>
    <n v="1"/>
    <x v="101"/>
  </r>
  <r>
    <x v="8"/>
    <x v="0"/>
    <x v="1"/>
    <n v="15"/>
    <x v="102"/>
  </r>
  <r>
    <x v="8"/>
    <x v="0"/>
    <x v="1"/>
    <n v="15"/>
    <x v="103"/>
  </r>
  <r>
    <x v="8"/>
    <x v="0"/>
    <x v="4"/>
    <n v="1"/>
    <x v="104"/>
  </r>
  <r>
    <x v="8"/>
    <x v="0"/>
    <x v="6"/>
    <n v="2"/>
    <x v="105"/>
  </r>
  <r>
    <x v="8"/>
    <x v="0"/>
    <x v="1"/>
    <n v="8"/>
    <x v="106"/>
  </r>
  <r>
    <x v="6"/>
    <x v="1"/>
    <x v="2"/>
    <n v="3"/>
    <x v="107"/>
  </r>
  <r>
    <x v="6"/>
    <x v="0"/>
    <x v="1"/>
    <n v="11"/>
    <x v="108"/>
  </r>
  <r>
    <x v="6"/>
    <x v="0"/>
    <x v="1"/>
    <n v="3"/>
    <x v="109"/>
  </r>
  <r>
    <x v="10"/>
    <x v="0"/>
    <x v="2"/>
    <n v="1"/>
    <x v="110"/>
  </r>
  <r>
    <x v="0"/>
    <x v="0"/>
    <x v="9"/>
    <n v="1"/>
    <x v="111"/>
  </r>
  <r>
    <x v="0"/>
    <x v="0"/>
    <x v="1"/>
    <n v="1"/>
    <x v="112"/>
  </r>
  <r>
    <x v="0"/>
    <x v="1"/>
    <x v="7"/>
    <n v="15"/>
    <x v="113"/>
  </r>
  <r>
    <x v="0"/>
    <x v="1"/>
    <x v="2"/>
    <n v="1"/>
    <x v="114"/>
  </r>
  <r>
    <x v="0"/>
    <x v="0"/>
    <x v="7"/>
    <n v="8"/>
    <x v="115"/>
  </r>
  <r>
    <x v="0"/>
    <x v="0"/>
    <x v="1"/>
    <n v="2"/>
    <x v="116"/>
  </r>
  <r>
    <x v="0"/>
    <x v="0"/>
    <x v="4"/>
    <n v="1"/>
    <x v="117"/>
  </r>
  <r>
    <x v="0"/>
    <x v="0"/>
    <x v="1"/>
    <n v="13"/>
    <x v="118"/>
  </r>
  <r>
    <x v="2"/>
    <x v="0"/>
    <x v="1"/>
    <n v="5"/>
    <x v="119"/>
  </r>
  <r>
    <x v="0"/>
    <x v="0"/>
    <x v="1"/>
    <n v="10"/>
    <x v="120"/>
  </r>
  <r>
    <x v="0"/>
    <x v="0"/>
    <x v="7"/>
    <n v="2"/>
    <x v="121"/>
  </r>
  <r>
    <x v="0"/>
    <x v="0"/>
    <x v="1"/>
    <n v="14"/>
    <x v="122"/>
  </r>
  <r>
    <x v="0"/>
    <x v="0"/>
    <x v="10"/>
    <n v="1"/>
    <x v="123"/>
  </r>
  <r>
    <x v="0"/>
    <x v="0"/>
    <x v="1"/>
    <n v="10"/>
    <x v="124"/>
  </r>
  <r>
    <x v="4"/>
    <x v="0"/>
    <x v="1"/>
    <n v="2"/>
    <x v="125"/>
  </r>
  <r>
    <x v="8"/>
    <x v="0"/>
    <x v="1"/>
    <n v="18"/>
    <x v="126"/>
  </r>
  <r>
    <x v="8"/>
    <x v="0"/>
    <x v="1"/>
    <n v="72"/>
    <x v="127"/>
  </r>
  <r>
    <x v="8"/>
    <x v="0"/>
    <x v="9"/>
    <n v="1"/>
    <x v="128"/>
  </r>
  <r>
    <x v="0"/>
    <x v="1"/>
    <x v="0"/>
    <n v="4"/>
    <x v="129"/>
  </r>
  <r>
    <x v="0"/>
    <x v="0"/>
    <x v="1"/>
    <n v="2"/>
    <x v="130"/>
  </r>
  <r>
    <x v="0"/>
    <x v="0"/>
    <x v="1"/>
    <n v="11"/>
    <x v="131"/>
  </r>
  <r>
    <x v="0"/>
    <x v="0"/>
    <x v="1"/>
    <n v="42"/>
    <x v="132"/>
  </r>
  <r>
    <x v="0"/>
    <x v="1"/>
    <x v="2"/>
    <n v="3"/>
    <x v="133"/>
  </r>
  <r>
    <x v="0"/>
    <x v="0"/>
    <x v="1"/>
    <n v="1"/>
    <x v="134"/>
  </r>
  <r>
    <x v="1"/>
    <x v="0"/>
    <x v="1"/>
    <n v="86"/>
    <x v="135"/>
  </r>
  <r>
    <x v="1"/>
    <x v="0"/>
    <x v="1"/>
    <n v="33"/>
    <x v="136"/>
  </r>
  <r>
    <x v="1"/>
    <x v="0"/>
    <x v="0"/>
    <n v="1"/>
    <x v="137"/>
  </r>
  <r>
    <x v="1"/>
    <x v="0"/>
    <x v="6"/>
    <n v="1"/>
    <x v="138"/>
  </r>
  <r>
    <x v="3"/>
    <x v="0"/>
    <x v="1"/>
    <n v="1"/>
    <x v="139"/>
  </r>
  <r>
    <x v="3"/>
    <x v="0"/>
    <x v="1"/>
    <n v="16"/>
    <x v="140"/>
  </r>
  <r>
    <x v="11"/>
    <x v="0"/>
    <x v="1"/>
    <n v="1"/>
    <x v="141"/>
  </r>
  <r>
    <x v="0"/>
    <x v="0"/>
    <x v="1"/>
    <n v="11"/>
    <x v="142"/>
  </r>
  <r>
    <x v="6"/>
    <x v="0"/>
    <x v="1"/>
    <n v="21"/>
    <x v="143"/>
  </r>
  <r>
    <x v="6"/>
    <x v="0"/>
    <x v="11"/>
    <n v="1"/>
    <x v="144"/>
  </r>
  <r>
    <x v="6"/>
    <x v="0"/>
    <x v="1"/>
    <n v="1"/>
    <x v="145"/>
  </r>
  <r>
    <x v="6"/>
    <x v="0"/>
    <x v="1"/>
    <n v="19"/>
    <x v="146"/>
  </r>
  <r>
    <x v="6"/>
    <x v="1"/>
    <x v="1"/>
    <n v="3"/>
    <x v="147"/>
  </r>
  <r>
    <x v="6"/>
    <x v="0"/>
    <x v="5"/>
    <n v="1"/>
    <x v="148"/>
  </r>
  <r>
    <x v="13"/>
    <x v="0"/>
    <x v="1"/>
    <n v="2"/>
    <x v="149"/>
  </r>
  <r>
    <x v="13"/>
    <x v="0"/>
    <x v="1"/>
    <n v="2"/>
    <x v="150"/>
  </r>
  <r>
    <x v="13"/>
    <x v="0"/>
    <x v="1"/>
    <n v="4"/>
    <x v="151"/>
  </r>
  <r>
    <x v="10"/>
    <x v="0"/>
    <x v="4"/>
    <n v="3"/>
    <x v="152"/>
  </r>
  <r>
    <x v="4"/>
    <x v="0"/>
    <x v="1"/>
    <n v="17"/>
    <x v="153"/>
  </r>
  <r>
    <x v="7"/>
    <x v="0"/>
    <x v="1"/>
    <n v="11"/>
    <x v="154"/>
  </r>
  <r>
    <x v="8"/>
    <x v="0"/>
    <x v="7"/>
    <n v="1"/>
    <x v="155"/>
  </r>
  <r>
    <x v="8"/>
    <x v="0"/>
    <x v="1"/>
    <n v="14"/>
    <x v="156"/>
  </r>
  <r>
    <x v="8"/>
    <x v="0"/>
    <x v="7"/>
    <n v="1"/>
    <x v="157"/>
  </r>
  <r>
    <x v="12"/>
    <x v="0"/>
    <x v="1"/>
    <n v="12"/>
    <x v="158"/>
  </r>
  <r>
    <x v="12"/>
    <x v="0"/>
    <x v="1"/>
    <n v="1"/>
    <x v="159"/>
  </r>
  <r>
    <x v="0"/>
    <x v="0"/>
    <x v="1"/>
    <n v="1"/>
    <x v="160"/>
  </r>
  <r>
    <x v="0"/>
    <x v="0"/>
    <x v="0"/>
    <n v="4"/>
    <x v="161"/>
  </r>
  <r>
    <x v="9"/>
    <x v="0"/>
    <x v="7"/>
    <n v="4"/>
    <x v="162"/>
  </r>
  <r>
    <x v="9"/>
    <x v="0"/>
    <x v="1"/>
    <n v="2"/>
    <x v="163"/>
  </r>
  <r>
    <x v="14"/>
    <x v="0"/>
    <x v="2"/>
    <n v="9"/>
    <x v="164"/>
  </r>
  <r>
    <x v="1"/>
    <x v="0"/>
    <x v="1"/>
    <n v="2"/>
    <x v="165"/>
  </r>
  <r>
    <x v="1"/>
    <x v="0"/>
    <x v="1"/>
    <n v="12"/>
    <x v="166"/>
  </r>
  <r>
    <x v="1"/>
    <x v="0"/>
    <x v="7"/>
    <n v="31"/>
    <x v="167"/>
  </r>
  <r>
    <x v="1"/>
    <x v="0"/>
    <x v="1"/>
    <n v="5"/>
    <x v="168"/>
  </r>
  <r>
    <x v="1"/>
    <x v="1"/>
    <x v="0"/>
    <n v="1"/>
    <x v="169"/>
  </r>
  <r>
    <x v="1"/>
    <x v="0"/>
    <x v="11"/>
    <n v="1"/>
    <x v="170"/>
  </r>
  <r>
    <x v="5"/>
    <x v="0"/>
    <x v="1"/>
    <n v="84"/>
    <x v="171"/>
  </r>
  <r>
    <x v="5"/>
    <x v="0"/>
    <x v="1"/>
    <n v="8"/>
    <x v="172"/>
  </r>
  <r>
    <x v="2"/>
    <x v="0"/>
    <x v="1"/>
    <n v="9.7142857142857135"/>
    <x v="173"/>
  </r>
  <r>
    <x v="2"/>
    <x v="0"/>
    <x v="1"/>
    <n v="5"/>
    <x v="174"/>
  </r>
  <r>
    <x v="2"/>
    <x v="1"/>
    <x v="7"/>
    <n v="1"/>
    <x v="175"/>
  </r>
  <r>
    <x v="2"/>
    <x v="0"/>
    <x v="1"/>
    <n v="129.35714285714286"/>
    <x v="176"/>
  </r>
  <r>
    <x v="2"/>
    <x v="0"/>
    <x v="1"/>
    <n v="24.285714285714285"/>
    <x v="177"/>
  </r>
  <r>
    <x v="2"/>
    <x v="0"/>
    <x v="1"/>
    <n v="3.3571428571428572"/>
    <x v="178"/>
  </r>
  <r>
    <x v="2"/>
    <x v="0"/>
    <x v="1"/>
    <n v="1.7142857142857144"/>
    <x v="179"/>
  </r>
  <r>
    <x v="2"/>
    <x v="0"/>
    <x v="2"/>
    <n v="3"/>
    <x v="180"/>
  </r>
  <r>
    <x v="2"/>
    <x v="0"/>
    <x v="7"/>
    <n v="1"/>
    <x v="181"/>
  </r>
  <r>
    <x v="2"/>
    <x v="0"/>
    <x v="1"/>
    <n v="1"/>
    <x v="182"/>
  </r>
  <r>
    <x v="2"/>
    <x v="0"/>
    <x v="1"/>
    <n v="17"/>
    <x v="183"/>
  </r>
  <r>
    <x v="2"/>
    <x v="0"/>
    <x v="1"/>
    <n v="3"/>
    <x v="184"/>
  </r>
  <r>
    <x v="2"/>
    <x v="0"/>
    <x v="1"/>
    <n v="3"/>
    <x v="185"/>
  </r>
  <r>
    <x v="2"/>
    <x v="0"/>
    <x v="4"/>
    <n v="1"/>
    <x v="186"/>
  </r>
  <r>
    <x v="2"/>
    <x v="1"/>
    <x v="1"/>
    <n v="1"/>
    <x v="187"/>
  </r>
  <r>
    <x v="2"/>
    <x v="0"/>
    <x v="8"/>
    <n v="4"/>
    <x v="188"/>
  </r>
  <r>
    <x v="2"/>
    <x v="0"/>
    <x v="1"/>
    <n v="9"/>
    <x v="189"/>
  </r>
  <r>
    <x v="2"/>
    <x v="0"/>
    <x v="2"/>
    <n v="2"/>
    <x v="190"/>
  </r>
  <r>
    <x v="3"/>
    <x v="0"/>
    <x v="1"/>
    <n v="2"/>
    <x v="191"/>
  </r>
  <r>
    <x v="0"/>
    <x v="0"/>
    <x v="1"/>
    <n v="62"/>
    <x v="192"/>
  </r>
  <r>
    <x v="0"/>
    <x v="0"/>
    <x v="1"/>
    <n v="50"/>
    <x v="193"/>
  </r>
  <r>
    <x v="0"/>
    <x v="0"/>
    <x v="1"/>
    <n v="36"/>
    <x v="194"/>
  </r>
  <r>
    <x v="0"/>
    <x v="0"/>
    <x v="9"/>
    <n v="23"/>
    <x v="195"/>
  </r>
  <r>
    <x v="0"/>
    <x v="0"/>
    <x v="9"/>
    <n v="14"/>
    <x v="196"/>
  </r>
  <r>
    <x v="0"/>
    <x v="0"/>
    <x v="1"/>
    <n v="30"/>
    <x v="197"/>
  </r>
  <r>
    <x v="0"/>
    <x v="0"/>
    <x v="1"/>
    <n v="18"/>
    <x v="198"/>
  </r>
  <r>
    <x v="0"/>
    <x v="0"/>
    <x v="1"/>
    <n v="32"/>
    <x v="199"/>
  </r>
  <r>
    <x v="0"/>
    <x v="0"/>
    <x v="1"/>
    <n v="2"/>
    <x v="200"/>
  </r>
  <r>
    <x v="0"/>
    <x v="0"/>
    <x v="1"/>
    <n v="156"/>
    <x v="201"/>
  </r>
  <r>
    <x v="0"/>
    <x v="0"/>
    <x v="1"/>
    <n v="30"/>
    <x v="202"/>
  </r>
  <r>
    <x v="0"/>
    <x v="0"/>
    <x v="1"/>
    <n v="146"/>
    <x v="203"/>
  </r>
  <r>
    <x v="0"/>
    <x v="0"/>
    <x v="1"/>
    <n v="4"/>
    <x v="204"/>
  </r>
  <r>
    <x v="0"/>
    <x v="1"/>
    <x v="7"/>
    <n v="1"/>
    <x v="205"/>
  </r>
  <r>
    <x v="0"/>
    <x v="0"/>
    <x v="1"/>
    <n v="24"/>
    <x v="206"/>
  </r>
  <r>
    <x v="0"/>
    <x v="0"/>
    <x v="1"/>
    <n v="43"/>
    <x v="207"/>
  </r>
  <r>
    <x v="4"/>
    <x v="0"/>
    <x v="1"/>
    <n v="9"/>
    <x v="208"/>
  </r>
  <r>
    <x v="7"/>
    <x v="0"/>
    <x v="1"/>
    <n v="2"/>
    <x v="209"/>
  </r>
  <r>
    <x v="7"/>
    <x v="0"/>
    <x v="1"/>
    <n v="6"/>
    <x v="210"/>
  </r>
  <r>
    <x v="8"/>
    <x v="0"/>
    <x v="0"/>
    <n v="1"/>
    <x v="211"/>
  </r>
  <r>
    <x v="8"/>
    <x v="0"/>
    <x v="6"/>
    <n v="6"/>
    <x v="212"/>
  </r>
  <r>
    <x v="8"/>
    <x v="0"/>
    <x v="2"/>
    <n v="1"/>
    <x v="213"/>
  </r>
  <r>
    <x v="8"/>
    <x v="0"/>
    <x v="6"/>
    <n v="1"/>
    <x v="214"/>
  </r>
  <r>
    <x v="12"/>
    <x v="0"/>
    <x v="1"/>
    <n v="12"/>
    <x v="215"/>
  </r>
  <r>
    <x v="9"/>
    <x v="0"/>
    <x v="7"/>
    <n v="1"/>
    <x v="216"/>
  </r>
  <r>
    <x v="9"/>
    <x v="0"/>
    <x v="1"/>
    <n v="9"/>
    <x v="217"/>
  </r>
  <r>
    <x v="9"/>
    <x v="0"/>
    <x v="1"/>
    <n v="107"/>
    <x v="218"/>
  </r>
  <r>
    <x v="9"/>
    <x v="0"/>
    <x v="7"/>
    <n v="8"/>
    <x v="219"/>
  </r>
  <r>
    <x v="9"/>
    <x v="0"/>
    <x v="1"/>
    <n v="6"/>
    <x v="220"/>
  </r>
  <r>
    <x v="14"/>
    <x v="0"/>
    <x v="1"/>
    <n v="10"/>
    <x v="221"/>
  </r>
  <r>
    <x v="14"/>
    <x v="0"/>
    <x v="1"/>
    <n v="3"/>
    <x v="222"/>
  </r>
  <r>
    <x v="14"/>
    <x v="0"/>
    <x v="1"/>
    <n v="12"/>
    <x v="223"/>
  </r>
  <r>
    <x v="14"/>
    <x v="0"/>
    <x v="0"/>
    <n v="3"/>
    <x v="224"/>
  </r>
  <r>
    <x v="14"/>
    <x v="1"/>
    <x v="6"/>
    <n v="1"/>
    <x v="225"/>
  </r>
  <r>
    <x v="14"/>
    <x v="1"/>
    <x v="0"/>
    <n v="1"/>
    <x v="226"/>
  </r>
  <r>
    <x v="14"/>
    <x v="1"/>
    <x v="4"/>
    <n v="2"/>
    <x v="227"/>
  </r>
  <r>
    <x v="14"/>
    <x v="1"/>
    <x v="0"/>
    <n v="1"/>
    <x v="228"/>
  </r>
  <r>
    <x v="14"/>
    <x v="0"/>
    <x v="1"/>
    <n v="2"/>
    <x v="229"/>
  </r>
  <r>
    <x v="3"/>
    <x v="0"/>
    <x v="1"/>
    <n v="26"/>
    <x v="230"/>
  </r>
  <r>
    <x v="3"/>
    <x v="0"/>
    <x v="1"/>
    <n v="37"/>
    <x v="231"/>
  </r>
  <r>
    <x v="3"/>
    <x v="0"/>
    <x v="7"/>
    <n v="1"/>
    <x v="232"/>
  </r>
  <r>
    <x v="3"/>
    <x v="0"/>
    <x v="7"/>
    <n v="3"/>
    <x v="233"/>
  </r>
  <r>
    <x v="1"/>
    <x v="0"/>
    <x v="1"/>
    <n v="34"/>
    <x v="234"/>
  </r>
  <r>
    <x v="1"/>
    <x v="0"/>
    <x v="1"/>
    <n v="29"/>
    <x v="235"/>
  </r>
  <r>
    <x v="1"/>
    <x v="0"/>
    <x v="1"/>
    <n v="12"/>
    <x v="236"/>
  </r>
  <r>
    <x v="1"/>
    <x v="0"/>
    <x v="1"/>
    <n v="20"/>
    <x v="237"/>
  </r>
  <r>
    <x v="2"/>
    <x v="0"/>
    <x v="1"/>
    <n v="15.571428571428571"/>
    <x v="238"/>
  </r>
  <r>
    <x v="2"/>
    <x v="0"/>
    <x v="1"/>
    <n v="1"/>
    <x v="239"/>
  </r>
  <r>
    <x v="3"/>
    <x v="0"/>
    <x v="1"/>
    <n v="9"/>
    <x v="240"/>
  </r>
  <r>
    <x v="0"/>
    <x v="0"/>
    <x v="1"/>
    <n v="9"/>
    <x v="241"/>
  </r>
  <r>
    <x v="0"/>
    <x v="0"/>
    <x v="2"/>
    <n v="1"/>
    <x v="242"/>
  </r>
  <r>
    <x v="6"/>
    <x v="1"/>
    <x v="6"/>
    <n v="4"/>
    <x v="243"/>
  </r>
  <r>
    <x v="6"/>
    <x v="1"/>
    <x v="4"/>
    <n v="5"/>
    <x v="244"/>
  </r>
  <r>
    <x v="10"/>
    <x v="0"/>
    <x v="1"/>
    <n v="3"/>
    <x v="245"/>
  </r>
  <r>
    <x v="4"/>
    <x v="0"/>
    <x v="1"/>
    <n v="74"/>
    <x v="246"/>
  </r>
  <r>
    <x v="7"/>
    <x v="0"/>
    <x v="1"/>
    <n v="3"/>
    <x v="247"/>
  </r>
  <r>
    <x v="7"/>
    <x v="0"/>
    <x v="10"/>
    <n v="7"/>
    <x v="248"/>
  </r>
  <r>
    <x v="4"/>
    <x v="0"/>
    <x v="1"/>
    <n v="157"/>
    <x v="249"/>
  </r>
  <r>
    <x v="4"/>
    <x v="0"/>
    <x v="1"/>
    <n v="140"/>
    <x v="250"/>
  </r>
  <r>
    <x v="4"/>
    <x v="0"/>
    <x v="1"/>
    <n v="30"/>
    <x v="251"/>
  </r>
  <r>
    <x v="4"/>
    <x v="0"/>
    <x v="2"/>
    <n v="2"/>
    <x v="252"/>
  </r>
  <r>
    <x v="4"/>
    <x v="1"/>
    <x v="6"/>
    <n v="37"/>
    <x v="253"/>
  </r>
  <r>
    <x v="4"/>
    <x v="0"/>
    <x v="1"/>
    <n v="23"/>
    <x v="254"/>
  </r>
  <r>
    <x v="8"/>
    <x v="0"/>
    <x v="1"/>
    <n v="2"/>
    <x v="255"/>
  </r>
  <r>
    <x v="12"/>
    <x v="0"/>
    <x v="1"/>
    <n v="6"/>
    <x v="256"/>
  </r>
  <r>
    <x v="14"/>
    <x v="0"/>
    <x v="5"/>
    <n v="2"/>
    <x v="257"/>
  </r>
  <r>
    <x v="1"/>
    <x v="1"/>
    <x v="6"/>
    <n v="25"/>
    <x v="258"/>
  </r>
  <r>
    <x v="1"/>
    <x v="1"/>
    <x v="6"/>
    <n v="33"/>
    <x v="259"/>
  </r>
  <r>
    <x v="6"/>
    <x v="1"/>
    <x v="7"/>
    <n v="2"/>
    <x v="260"/>
  </r>
  <r>
    <x v="6"/>
    <x v="1"/>
    <x v="2"/>
    <n v="1"/>
    <x v="261"/>
  </r>
  <r>
    <x v="6"/>
    <x v="1"/>
    <x v="7"/>
    <n v="4"/>
    <x v="262"/>
  </r>
  <r>
    <x v="6"/>
    <x v="1"/>
    <x v="7"/>
    <n v="2"/>
    <x v="263"/>
  </r>
  <r>
    <x v="5"/>
    <x v="0"/>
    <x v="1"/>
    <n v="127"/>
    <x v="264"/>
  </r>
  <r>
    <x v="5"/>
    <x v="0"/>
    <x v="1"/>
    <n v="31"/>
    <x v="265"/>
  </r>
  <r>
    <x v="5"/>
    <x v="0"/>
    <x v="1"/>
    <n v="280"/>
    <x v="266"/>
  </r>
  <r>
    <x v="5"/>
    <x v="0"/>
    <x v="7"/>
    <n v="25"/>
    <x v="267"/>
  </r>
  <r>
    <x v="5"/>
    <x v="0"/>
    <x v="7"/>
    <n v="1"/>
    <x v="268"/>
  </r>
  <r>
    <x v="5"/>
    <x v="0"/>
    <x v="1"/>
    <n v="73"/>
    <x v="269"/>
  </r>
  <r>
    <x v="5"/>
    <x v="0"/>
    <x v="1"/>
    <n v="41"/>
    <x v="270"/>
  </r>
  <r>
    <x v="5"/>
    <x v="0"/>
    <x v="1"/>
    <n v="0"/>
    <x v="39"/>
  </r>
  <r>
    <x v="5"/>
    <x v="0"/>
    <x v="1"/>
    <n v="43"/>
    <x v="271"/>
  </r>
  <r>
    <x v="5"/>
    <x v="0"/>
    <x v="1"/>
    <n v="23"/>
    <x v="272"/>
  </r>
  <r>
    <x v="6"/>
    <x v="0"/>
    <x v="1"/>
    <n v="24"/>
    <x v="273"/>
  </r>
  <r>
    <x v="6"/>
    <x v="0"/>
    <x v="1"/>
    <n v="102"/>
    <x v="274"/>
  </r>
  <r>
    <x v="6"/>
    <x v="0"/>
    <x v="1"/>
    <n v="27"/>
    <x v="275"/>
  </r>
  <r>
    <x v="0"/>
    <x v="0"/>
    <x v="1"/>
    <n v="3"/>
    <x v="276"/>
  </r>
  <r>
    <x v="0"/>
    <x v="0"/>
    <x v="1"/>
    <n v="7"/>
    <x v="277"/>
  </r>
  <r>
    <x v="0"/>
    <x v="0"/>
    <x v="1"/>
    <n v="31"/>
    <x v="278"/>
  </r>
  <r>
    <x v="0"/>
    <x v="0"/>
    <x v="1"/>
    <n v="1"/>
    <x v="279"/>
  </r>
  <r>
    <x v="0"/>
    <x v="0"/>
    <x v="7"/>
    <n v="1"/>
    <x v="280"/>
  </r>
  <r>
    <x v="0"/>
    <x v="0"/>
    <x v="1"/>
    <n v="1"/>
    <x v="281"/>
  </r>
  <r>
    <x v="0"/>
    <x v="0"/>
    <x v="1"/>
    <n v="4"/>
    <x v="282"/>
  </r>
  <r>
    <x v="0"/>
    <x v="1"/>
    <x v="2"/>
    <n v="2"/>
    <x v="283"/>
  </r>
  <r>
    <x v="0"/>
    <x v="0"/>
    <x v="1"/>
    <n v="2"/>
    <x v="284"/>
  </r>
  <r>
    <x v="0"/>
    <x v="0"/>
    <x v="6"/>
    <n v="1"/>
    <x v="285"/>
  </r>
  <r>
    <x v="0"/>
    <x v="0"/>
    <x v="1"/>
    <n v="6"/>
    <x v="286"/>
  </r>
  <r>
    <x v="0"/>
    <x v="0"/>
    <x v="1"/>
    <n v="116"/>
    <x v="287"/>
  </r>
  <r>
    <x v="4"/>
    <x v="1"/>
    <x v="1"/>
    <n v="2"/>
    <x v="288"/>
  </r>
  <r>
    <x v="4"/>
    <x v="0"/>
    <x v="1"/>
    <n v="8"/>
    <x v="289"/>
  </r>
  <r>
    <x v="8"/>
    <x v="0"/>
    <x v="1"/>
    <n v="1"/>
    <x v="290"/>
  </r>
  <r>
    <x v="8"/>
    <x v="1"/>
    <x v="6"/>
    <n v="1"/>
    <x v="291"/>
  </r>
  <r>
    <x v="8"/>
    <x v="0"/>
    <x v="5"/>
    <n v="1"/>
    <x v="292"/>
  </r>
  <r>
    <x v="8"/>
    <x v="0"/>
    <x v="1"/>
    <n v="1"/>
    <x v="293"/>
  </r>
  <r>
    <x v="8"/>
    <x v="0"/>
    <x v="1"/>
    <n v="48"/>
    <x v="294"/>
  </r>
  <r>
    <x v="8"/>
    <x v="0"/>
    <x v="7"/>
    <n v="1"/>
    <x v="295"/>
  </r>
  <r>
    <x v="8"/>
    <x v="0"/>
    <x v="1"/>
    <n v="5"/>
    <x v="296"/>
  </r>
  <r>
    <x v="0"/>
    <x v="1"/>
    <x v="0"/>
    <n v="5"/>
    <x v="297"/>
  </r>
  <r>
    <x v="2"/>
    <x v="0"/>
    <x v="1"/>
    <n v="3"/>
    <x v="298"/>
  </r>
  <r>
    <x v="14"/>
    <x v="1"/>
    <x v="1"/>
    <n v="1"/>
    <x v="299"/>
  </r>
  <r>
    <x v="0"/>
    <x v="1"/>
    <x v="4"/>
    <n v="3"/>
    <x v="300"/>
  </r>
  <r>
    <x v="10"/>
    <x v="0"/>
    <x v="0"/>
    <n v="2"/>
    <x v="301"/>
  </r>
  <r>
    <x v="0"/>
    <x v="0"/>
    <x v="11"/>
    <n v="2"/>
    <x v="302"/>
  </r>
  <r>
    <x v="0"/>
    <x v="0"/>
    <x v="1"/>
    <n v="1"/>
    <x v="303"/>
  </r>
  <r>
    <x v="0"/>
    <x v="0"/>
    <x v="11"/>
    <n v="1"/>
    <x v="304"/>
  </r>
  <r>
    <x v="8"/>
    <x v="0"/>
    <x v="1"/>
    <n v="11"/>
    <x v="305"/>
  </r>
  <r>
    <x v="6"/>
    <x v="0"/>
    <x v="2"/>
    <n v="9"/>
    <x v="306"/>
  </r>
  <r>
    <x v="6"/>
    <x v="0"/>
    <x v="1"/>
    <n v="13"/>
    <x v="307"/>
  </r>
  <r>
    <x v="8"/>
    <x v="0"/>
    <x v="1"/>
    <n v="8"/>
    <x v="308"/>
  </r>
  <r>
    <x v="9"/>
    <x v="0"/>
    <x v="1"/>
    <n v="23"/>
    <x v="309"/>
  </r>
  <r>
    <x v="0"/>
    <x v="0"/>
    <x v="1"/>
    <n v="6"/>
    <x v="310"/>
  </r>
  <r>
    <x v="0"/>
    <x v="0"/>
    <x v="7"/>
    <n v="2"/>
    <x v="311"/>
  </r>
  <r>
    <x v="1"/>
    <x v="0"/>
    <x v="1"/>
    <n v="3"/>
    <x v="312"/>
  </r>
  <r>
    <x v="1"/>
    <x v="0"/>
    <x v="1"/>
    <n v="4"/>
    <x v="313"/>
  </r>
  <r>
    <x v="0"/>
    <x v="1"/>
    <x v="0"/>
    <n v="2"/>
    <x v="314"/>
  </r>
  <r>
    <x v="0"/>
    <x v="0"/>
    <x v="0"/>
    <n v="2"/>
    <x v="315"/>
  </r>
  <r>
    <x v="2"/>
    <x v="0"/>
    <x v="2"/>
    <n v="2"/>
    <x v="316"/>
  </r>
  <r>
    <x v="2"/>
    <x v="0"/>
    <x v="1"/>
    <n v="2"/>
    <x v="317"/>
  </r>
  <r>
    <x v="0"/>
    <x v="0"/>
    <x v="9"/>
    <n v="4"/>
    <x v="318"/>
  </r>
  <r>
    <x v="0"/>
    <x v="0"/>
    <x v="1"/>
    <n v="1"/>
    <x v="319"/>
  </r>
  <r>
    <x v="0"/>
    <x v="1"/>
    <x v="7"/>
    <n v="4.0714285714285712"/>
    <x v="320"/>
  </r>
  <r>
    <x v="0"/>
    <x v="0"/>
    <x v="1"/>
    <n v="27"/>
    <x v="321"/>
  </r>
  <r>
    <x v="0"/>
    <x v="0"/>
    <x v="4"/>
    <n v="2"/>
    <x v="322"/>
  </r>
  <r>
    <x v="0"/>
    <x v="0"/>
    <x v="1"/>
    <n v="2"/>
    <x v="323"/>
  </r>
  <r>
    <x v="12"/>
    <x v="0"/>
    <x v="1"/>
    <n v="10"/>
    <x v="324"/>
  </r>
  <r>
    <x v="0"/>
    <x v="0"/>
    <x v="6"/>
    <n v="1"/>
    <x v="325"/>
  </r>
  <r>
    <x v="0"/>
    <x v="0"/>
    <x v="1"/>
    <n v="4"/>
    <x v="326"/>
  </r>
  <r>
    <x v="6"/>
    <x v="0"/>
    <x v="1"/>
    <n v="2"/>
    <x v="327"/>
  </r>
  <r>
    <x v="0"/>
    <x v="0"/>
    <x v="11"/>
    <n v="2"/>
    <x v="328"/>
  </r>
  <r>
    <x v="0"/>
    <x v="0"/>
    <x v="7"/>
    <n v="1"/>
    <x v="329"/>
  </r>
  <r>
    <x v="4"/>
    <x v="0"/>
    <x v="1"/>
    <n v="86"/>
    <x v="330"/>
  </r>
  <r>
    <x v="4"/>
    <x v="1"/>
    <x v="7"/>
    <n v="7"/>
    <x v="331"/>
  </r>
  <r>
    <x v="8"/>
    <x v="0"/>
    <x v="1"/>
    <n v="416"/>
    <x v="332"/>
  </r>
  <r>
    <x v="8"/>
    <x v="0"/>
    <x v="1"/>
    <n v="3"/>
    <x v="333"/>
  </r>
  <r>
    <x v="8"/>
    <x v="0"/>
    <x v="1"/>
    <n v="3"/>
    <x v="334"/>
  </r>
  <r>
    <x v="8"/>
    <x v="0"/>
    <x v="1"/>
    <n v="9"/>
    <x v="335"/>
  </r>
  <r>
    <x v="8"/>
    <x v="0"/>
    <x v="1"/>
    <n v="1"/>
    <x v="336"/>
  </r>
  <r>
    <x v="8"/>
    <x v="0"/>
    <x v="1"/>
    <n v="10"/>
    <x v="337"/>
  </r>
  <r>
    <x v="8"/>
    <x v="0"/>
    <x v="1"/>
    <n v="48"/>
    <x v="338"/>
  </r>
  <r>
    <x v="8"/>
    <x v="0"/>
    <x v="1"/>
    <n v="250"/>
    <x v="339"/>
  </r>
  <r>
    <x v="8"/>
    <x v="0"/>
    <x v="10"/>
    <n v="2"/>
    <x v="340"/>
  </r>
  <r>
    <x v="8"/>
    <x v="0"/>
    <x v="1"/>
    <n v="1"/>
    <x v="341"/>
  </r>
  <r>
    <x v="8"/>
    <x v="0"/>
    <x v="4"/>
    <n v="2"/>
    <x v="342"/>
  </r>
  <r>
    <x v="8"/>
    <x v="0"/>
    <x v="1"/>
    <n v="3"/>
    <x v="343"/>
  </r>
  <r>
    <x v="0"/>
    <x v="0"/>
    <x v="4"/>
    <n v="1"/>
    <x v="344"/>
  </r>
  <r>
    <x v="0"/>
    <x v="0"/>
    <x v="1"/>
    <n v="1"/>
    <x v="345"/>
  </r>
  <r>
    <x v="1"/>
    <x v="0"/>
    <x v="9"/>
    <n v="2"/>
    <x v="346"/>
  </r>
  <r>
    <x v="1"/>
    <x v="0"/>
    <x v="10"/>
    <n v="22"/>
    <x v="347"/>
  </r>
  <r>
    <x v="1"/>
    <x v="0"/>
    <x v="1"/>
    <n v="63"/>
    <x v="348"/>
  </r>
  <r>
    <x v="1"/>
    <x v="0"/>
    <x v="10"/>
    <n v="45"/>
    <x v="349"/>
  </r>
  <r>
    <x v="1"/>
    <x v="0"/>
    <x v="1"/>
    <n v="11"/>
    <x v="350"/>
  </r>
  <r>
    <x v="1"/>
    <x v="0"/>
    <x v="1"/>
    <n v="263"/>
    <x v="351"/>
  </r>
  <r>
    <x v="1"/>
    <x v="0"/>
    <x v="10"/>
    <n v="315"/>
    <x v="352"/>
  </r>
  <r>
    <x v="1"/>
    <x v="0"/>
    <x v="1"/>
    <n v="37"/>
    <x v="353"/>
  </r>
  <r>
    <x v="1"/>
    <x v="0"/>
    <x v="5"/>
    <n v="5"/>
    <x v="354"/>
  </r>
  <r>
    <x v="1"/>
    <x v="0"/>
    <x v="1"/>
    <n v="23"/>
    <x v="355"/>
  </r>
  <r>
    <x v="1"/>
    <x v="0"/>
    <x v="10"/>
    <n v="34"/>
    <x v="356"/>
  </r>
  <r>
    <x v="1"/>
    <x v="0"/>
    <x v="10"/>
    <n v="5"/>
    <x v="357"/>
  </r>
  <r>
    <x v="1"/>
    <x v="0"/>
    <x v="1"/>
    <n v="19"/>
    <x v="358"/>
  </r>
  <r>
    <x v="1"/>
    <x v="0"/>
    <x v="1"/>
    <n v="12"/>
    <x v="359"/>
  </r>
  <r>
    <x v="1"/>
    <x v="0"/>
    <x v="10"/>
    <n v="7"/>
    <x v="360"/>
  </r>
  <r>
    <x v="1"/>
    <x v="0"/>
    <x v="1"/>
    <n v="8"/>
    <x v="361"/>
  </r>
  <r>
    <x v="1"/>
    <x v="0"/>
    <x v="10"/>
    <n v="11"/>
    <x v="362"/>
  </r>
  <r>
    <x v="1"/>
    <x v="0"/>
    <x v="2"/>
    <n v="2"/>
    <x v="363"/>
  </r>
  <r>
    <x v="1"/>
    <x v="0"/>
    <x v="1"/>
    <n v="23"/>
    <x v="364"/>
  </r>
  <r>
    <x v="1"/>
    <x v="1"/>
    <x v="4"/>
    <n v="1"/>
    <x v="365"/>
  </r>
  <r>
    <x v="1"/>
    <x v="0"/>
    <x v="6"/>
    <n v="2"/>
    <x v="366"/>
  </r>
  <r>
    <x v="5"/>
    <x v="0"/>
    <x v="1"/>
    <n v="1"/>
    <x v="367"/>
  </r>
  <r>
    <x v="2"/>
    <x v="0"/>
    <x v="1"/>
    <n v="12.714285714285714"/>
    <x v="368"/>
  </r>
  <r>
    <x v="2"/>
    <x v="0"/>
    <x v="1"/>
    <n v="17.571428571428573"/>
    <x v="369"/>
  </r>
  <r>
    <x v="2"/>
    <x v="0"/>
    <x v="3"/>
    <n v="5"/>
    <x v="370"/>
  </r>
  <r>
    <x v="7"/>
    <x v="0"/>
    <x v="1"/>
    <n v="2"/>
    <x v="371"/>
  </r>
  <r>
    <x v="12"/>
    <x v="0"/>
    <x v="7"/>
    <n v="5"/>
    <x v="372"/>
  </r>
  <r>
    <x v="14"/>
    <x v="0"/>
    <x v="7"/>
    <n v="2"/>
    <x v="373"/>
  </r>
  <r>
    <x v="5"/>
    <x v="0"/>
    <x v="1"/>
    <n v="7"/>
    <x v="374"/>
  </r>
  <r>
    <x v="5"/>
    <x v="0"/>
    <x v="5"/>
    <n v="1"/>
    <x v="375"/>
  </r>
  <r>
    <x v="1"/>
    <x v="0"/>
    <x v="1"/>
    <n v="3"/>
    <x v="376"/>
  </r>
  <r>
    <x v="0"/>
    <x v="0"/>
    <x v="1"/>
    <n v="15"/>
    <x v="377"/>
  </r>
  <r>
    <x v="0"/>
    <x v="0"/>
    <x v="1"/>
    <n v="20"/>
    <x v="378"/>
  </r>
  <r>
    <x v="0"/>
    <x v="0"/>
    <x v="0"/>
    <n v="14"/>
    <x v="379"/>
  </r>
  <r>
    <x v="0"/>
    <x v="0"/>
    <x v="1"/>
    <n v="8"/>
    <x v="380"/>
  </r>
  <r>
    <x v="0"/>
    <x v="0"/>
    <x v="1"/>
    <n v="2"/>
    <x v="381"/>
  </r>
  <r>
    <x v="4"/>
    <x v="0"/>
    <x v="1"/>
    <n v="2"/>
    <x v="382"/>
  </r>
  <r>
    <x v="8"/>
    <x v="0"/>
    <x v="1"/>
    <n v="10"/>
    <x v="383"/>
  </r>
  <r>
    <x v="0"/>
    <x v="1"/>
    <x v="7"/>
    <n v="1.3571428571428572"/>
    <x v="384"/>
  </r>
  <r>
    <x v="0"/>
    <x v="0"/>
    <x v="1"/>
    <n v="3"/>
    <x v="385"/>
  </r>
  <r>
    <x v="0"/>
    <x v="0"/>
    <x v="11"/>
    <n v="1"/>
    <x v="386"/>
  </r>
  <r>
    <x v="0"/>
    <x v="0"/>
    <x v="9"/>
    <n v="1"/>
    <x v="3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4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11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413:O430" firstHeaderRow="1" firstDataRow="2" firstDataCol="1"/>
  <pivotFields count="4">
    <pivotField axis="axisRow" showAll="0">
      <items count="16">
        <item x="10"/>
        <item x="14"/>
        <item x="4"/>
        <item x="2"/>
        <item x="13"/>
        <item x="7"/>
        <item x="11"/>
        <item x="3"/>
        <item x="8"/>
        <item x="12"/>
        <item x="9"/>
        <item x="5"/>
        <item x="0"/>
        <item x="6"/>
        <item x="1"/>
        <item t="default"/>
      </items>
    </pivotField>
    <pivotField showAll="0"/>
    <pivotField axis="axisCol" dataField="1" showAll="0">
      <items count="13">
        <item x="1"/>
        <item x="7"/>
        <item x="2"/>
        <item x="0"/>
        <item x="4"/>
        <item x="6"/>
        <item x="8"/>
        <item x="9"/>
        <item x="10"/>
        <item x="5"/>
        <item x="11"/>
        <item x="3"/>
        <item t="default"/>
      </items>
    </pivotField>
    <pivotField numFmtId="166"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Month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E06156-BBCE-C746-A7E4-B5624AF65FDF}" name="PivotTable3" cacheId="1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compact="0" compactData="0">
  <location ref="C34:F128" firstHeaderRow="1" firstDataRow="1" firstDataCol="3"/>
  <pivotFields count="5">
    <pivotField axis="axisRow" compact="0" outline="0" showAll="0" defaultSubtotal="0">
      <items count="15">
        <item x="10"/>
        <item x="14"/>
        <item x="4"/>
        <item x="2"/>
        <item x="13"/>
        <item x="7"/>
        <item x="11"/>
        <item x="3"/>
        <item x="8"/>
        <item x="12"/>
        <item x="9"/>
        <item x="5"/>
        <item x="0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"/>
        <item x="7"/>
        <item x="2"/>
        <item x="0"/>
        <item x="4"/>
        <item x="6"/>
        <item x="8"/>
        <item x="9"/>
        <item x="10"/>
        <item x="5"/>
        <item x="1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items count="388">
        <item x="43"/>
        <item x="55"/>
        <item x="49"/>
        <item x="54"/>
        <item x="60"/>
        <item x="58"/>
        <item x="39"/>
        <item x="59"/>
        <item x="100"/>
        <item x="181"/>
        <item x="56"/>
        <item x="50"/>
        <item x="15"/>
        <item x="365"/>
        <item x="139"/>
        <item x="268"/>
        <item x="186"/>
        <item x="179"/>
        <item x="38"/>
        <item x="52"/>
        <item x="48"/>
        <item x="79"/>
        <item x="145"/>
        <item x="144"/>
        <item x="110"/>
        <item x="42"/>
        <item x="6"/>
        <item x="170"/>
        <item x="150"/>
        <item x="187"/>
        <item x="182"/>
        <item x="239"/>
        <item x="317"/>
        <item x="367"/>
        <item x="44"/>
        <item x="53"/>
        <item x="263"/>
        <item x="138"/>
        <item x="47"/>
        <item x="261"/>
        <item x="152"/>
        <item x="190"/>
        <item x="185"/>
        <item x="151"/>
        <item x="149"/>
        <item x="65"/>
        <item x="20"/>
        <item x="245"/>
        <item x="180"/>
        <item x="64"/>
        <item x="137"/>
        <item x="366"/>
        <item x="169"/>
        <item x="184"/>
        <item x="319"/>
        <item x="188"/>
        <item x="148"/>
        <item x="40"/>
        <item x="71"/>
        <item x="311"/>
        <item x="159"/>
        <item x="375"/>
        <item x="376"/>
        <item x="346"/>
        <item x="61"/>
        <item x="57"/>
        <item x="119"/>
        <item x="175"/>
        <item x="214"/>
        <item x="316"/>
        <item x="384"/>
        <item x="191"/>
        <item x="172"/>
        <item x="243"/>
        <item x="298"/>
        <item x="74"/>
        <item x="382"/>
        <item x="342"/>
        <item x="33"/>
        <item x="301"/>
        <item x="73"/>
        <item x="292"/>
        <item x="141"/>
        <item x="370"/>
        <item x="284"/>
        <item x="306"/>
        <item x="329"/>
        <item x="238"/>
        <item x="312"/>
        <item x="168"/>
        <item x="109"/>
        <item x="279"/>
        <item x="267"/>
        <item x="262"/>
        <item x="313"/>
        <item x="107"/>
        <item x="51"/>
        <item x="105"/>
        <item x="372"/>
        <item x="272"/>
        <item x="350"/>
        <item x="228"/>
        <item x="27"/>
        <item x="128"/>
        <item x="260"/>
        <item x="189"/>
        <item x="125"/>
        <item x="41"/>
        <item x="244"/>
        <item x="18"/>
        <item x="290"/>
        <item x="94"/>
        <item x="322"/>
        <item x="72"/>
        <item x="225"/>
        <item x="21"/>
        <item x="178"/>
        <item x="341"/>
        <item x="45"/>
        <item x="343"/>
        <item x="327"/>
        <item x="328"/>
        <item x="167"/>
        <item x="147"/>
        <item x="291"/>
        <item x="252"/>
        <item x="232"/>
        <item x="325"/>
        <item x="123"/>
        <item x="173"/>
        <item x="114"/>
        <item x="174"/>
        <item x="134"/>
        <item x="265"/>
        <item x="340"/>
        <item x="0"/>
        <item x="140"/>
        <item x="271"/>
        <item x="304"/>
        <item x="101"/>
        <item x="314"/>
        <item x="165"/>
        <item x="240"/>
        <item x="81"/>
        <item x="133"/>
        <item x="99"/>
        <item x="111"/>
        <item x="285"/>
        <item x="216"/>
        <item x="104"/>
        <item x="237"/>
        <item x="374"/>
        <item x="281"/>
        <item x="363"/>
        <item x="315"/>
        <item x="345"/>
        <item x="334"/>
        <item x="233"/>
        <item x="242"/>
        <item x="112"/>
        <item x="354"/>
        <item x="26"/>
        <item x="213"/>
        <item x="31"/>
        <item x="76"/>
        <item x="46"/>
        <item x="70"/>
        <item x="386"/>
        <item x="303"/>
        <item x="256"/>
        <item x="157"/>
        <item x="121"/>
        <item x="77"/>
        <item x="295"/>
        <item x="255"/>
        <item x="369"/>
        <item x="333"/>
        <item x="270"/>
        <item x="78"/>
        <item x="288"/>
        <item x="368"/>
        <item x="387"/>
        <item x="205"/>
        <item x="116"/>
        <item x="155"/>
        <item x="357"/>
        <item x="166"/>
        <item x="293"/>
        <item x="280"/>
        <item x="146"/>
        <item x="320"/>
        <item x="211"/>
        <item x="183"/>
        <item x="17"/>
        <item x="362"/>
        <item x="130"/>
        <item x="276"/>
        <item x="16"/>
        <item x="91"/>
        <item x="117"/>
        <item x="2"/>
        <item x="66"/>
        <item x="108"/>
        <item x="336"/>
        <item x="226"/>
        <item x="136"/>
        <item x="96"/>
        <item x="62"/>
        <item x="32"/>
        <item x="75"/>
        <item x="67"/>
        <item x="381"/>
        <item x="215"/>
        <item x="1"/>
        <item x="204"/>
        <item x="300"/>
        <item x="236"/>
        <item x="286"/>
        <item x="299"/>
        <item x="235"/>
        <item x="344"/>
        <item x="212"/>
        <item x="297"/>
        <item x="361"/>
        <item x="171"/>
        <item x="318"/>
        <item x="264"/>
        <item x="63"/>
        <item x="323"/>
        <item x="177"/>
        <item x="161"/>
        <item x="163"/>
        <item x="82"/>
        <item x="326"/>
        <item x="129"/>
        <item x="11"/>
        <item x="385"/>
        <item x="160"/>
        <item x="84"/>
        <item x="296"/>
        <item x="23"/>
        <item x="200"/>
        <item x="220"/>
        <item x="282"/>
        <item x="349"/>
        <item x="324"/>
        <item x="90"/>
        <item x="7"/>
        <item x="283"/>
        <item x="277"/>
        <item x="208"/>
        <item x="230"/>
        <item x="380"/>
        <item x="259"/>
        <item x="269"/>
        <item x="93"/>
        <item x="158"/>
        <item x="308"/>
        <item x="355"/>
        <item x="258"/>
        <item x="310"/>
        <item x="224"/>
        <item x="348"/>
        <item x="307"/>
        <item x="231"/>
        <item x="143"/>
        <item x="3"/>
        <item x="30"/>
        <item x="331"/>
        <item x="335"/>
        <item x="273"/>
        <item x="106"/>
        <item x="356"/>
        <item x="241"/>
        <item x="358"/>
        <item x="305"/>
        <item x="142"/>
        <item x="5"/>
        <item x="360"/>
        <item x="337"/>
        <item x="222"/>
        <item x="373"/>
        <item x="85"/>
        <item x="347"/>
        <item x="102"/>
        <item x="227"/>
        <item x="103"/>
        <item x="120"/>
        <item x="351"/>
        <item x="131"/>
        <item x="217"/>
        <item x="257"/>
        <item x="153"/>
        <item x="359"/>
        <item x="92"/>
        <item x="126"/>
        <item x="379"/>
        <item x="234"/>
        <item x="229"/>
        <item x="80"/>
        <item x="156"/>
        <item x="95"/>
        <item x="124"/>
        <item x="122"/>
        <item x="14"/>
        <item x="86"/>
        <item x="289"/>
        <item x="97"/>
        <item x="377"/>
        <item x="321"/>
        <item x="251"/>
        <item x="83"/>
        <item x="275"/>
        <item x="68"/>
        <item x="12"/>
        <item x="10"/>
        <item x="266"/>
        <item x="25"/>
        <item x="115"/>
        <item x="378"/>
        <item x="176"/>
        <item x="353"/>
        <item x="221"/>
        <item x="364"/>
        <item x="198"/>
        <item x="278"/>
        <item x="162"/>
        <item x="294"/>
        <item x="113"/>
        <item x="219"/>
        <item x="371"/>
        <item x="135"/>
        <item x="35"/>
        <item x="223"/>
        <item x="254"/>
        <item x="274"/>
        <item x="195"/>
        <item x="194"/>
        <item x="8"/>
        <item x="87"/>
        <item x="118"/>
        <item x="37"/>
        <item x="209"/>
        <item x="98"/>
        <item x="19"/>
        <item x="22"/>
        <item x="302"/>
        <item x="36"/>
        <item x="164"/>
        <item x="309"/>
        <item x="196"/>
        <item x="193"/>
        <item x="206"/>
        <item x="13"/>
        <item x="210"/>
        <item x="24"/>
        <item x="207"/>
        <item x="89"/>
        <item x="247"/>
        <item x="383"/>
        <item x="338"/>
        <item x="4"/>
        <item x="132"/>
        <item x="199"/>
        <item x="253"/>
        <item x="202"/>
        <item x="246"/>
        <item x="352"/>
        <item x="287"/>
        <item x="127"/>
        <item x="9"/>
        <item x="197"/>
        <item x="330"/>
        <item x="29"/>
        <item x="250"/>
        <item x="88"/>
        <item x="69"/>
        <item x="192"/>
        <item x="248"/>
        <item x="28"/>
        <item x="339"/>
        <item x="203"/>
        <item x="154"/>
        <item x="218"/>
        <item x="201"/>
        <item x="34"/>
        <item x="249"/>
        <item x="33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94">
    <i>
      <x/>
      <x/>
      <x/>
    </i>
    <i r="2">
      <x v="2"/>
    </i>
    <i r="2">
      <x v="3"/>
    </i>
    <i r="2">
      <x v="4"/>
    </i>
    <i>
      <x v="1"/>
      <x/>
      <x/>
    </i>
    <i r="2">
      <x v="1"/>
    </i>
    <i r="2">
      <x v="2"/>
    </i>
    <i r="2">
      <x v="3"/>
    </i>
    <i r="2">
      <x v="9"/>
    </i>
    <i r="1">
      <x v="1"/>
      <x/>
    </i>
    <i r="2">
      <x v="3"/>
    </i>
    <i r="2">
      <x v="4"/>
    </i>
    <i r="2">
      <x v="5"/>
    </i>
    <i>
      <x v="2"/>
      <x/>
      <x/>
    </i>
    <i r="2">
      <x v="2"/>
    </i>
    <i r="1">
      <x v="1"/>
      <x/>
    </i>
    <i r="2">
      <x v="1"/>
    </i>
    <i r="2">
      <x v="5"/>
    </i>
    <i>
      <x v="3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1"/>
    </i>
    <i r="1">
      <x v="1"/>
      <x/>
    </i>
    <i r="2">
      <x v="1"/>
    </i>
    <i>
      <x v="4"/>
      <x/>
      <x/>
    </i>
    <i>
      <x v="5"/>
      <x/>
      <x/>
    </i>
    <i r="2">
      <x v="4"/>
    </i>
    <i r="2">
      <x v="8"/>
    </i>
    <i>
      <x v="6"/>
      <x/>
      <x/>
    </i>
    <i r="2">
      <x v="7"/>
    </i>
    <i>
      <x v="7"/>
      <x/>
      <x/>
    </i>
    <i r="2">
      <x v="1"/>
    </i>
    <i r="2">
      <x v="11"/>
    </i>
    <i r="1">
      <x v="1"/>
      <x/>
    </i>
    <i r="2">
      <x v="1"/>
    </i>
    <i r="2">
      <x v="4"/>
    </i>
    <i>
      <x v="8"/>
      <x/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9"/>
    </i>
    <i r="1">
      <x v="1"/>
      <x v="5"/>
    </i>
    <i>
      <x v="9"/>
      <x/>
      <x/>
    </i>
    <i r="2">
      <x v="1"/>
    </i>
    <i r="1">
      <x v="1"/>
      <x/>
    </i>
    <i>
      <x v="10"/>
      <x/>
      <x/>
    </i>
    <i r="2">
      <x v="1"/>
    </i>
    <i>
      <x v="11"/>
      <x/>
      <x/>
    </i>
    <i r="2">
      <x v="1"/>
    </i>
    <i r="2">
      <x v="9"/>
    </i>
    <i>
      <x v="12"/>
      <x/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0"/>
    </i>
    <i r="1">
      <x v="1"/>
      <x v="1"/>
    </i>
    <i r="2">
      <x v="2"/>
    </i>
    <i r="2">
      <x v="3"/>
    </i>
    <i r="2">
      <x v="4"/>
    </i>
    <i>
      <x v="13"/>
      <x/>
      <x/>
    </i>
    <i r="2">
      <x v="2"/>
    </i>
    <i r="2">
      <x v="9"/>
    </i>
    <i r="2">
      <x v="10"/>
    </i>
    <i r="1">
      <x v="1"/>
      <x/>
    </i>
    <i r="2">
      <x v="1"/>
    </i>
    <i r="2">
      <x v="2"/>
    </i>
    <i r="2">
      <x v="4"/>
    </i>
    <i r="2">
      <x v="5"/>
    </i>
    <i>
      <x v="14"/>
      <x/>
      <x/>
    </i>
    <i r="2">
      <x v="1"/>
    </i>
    <i r="2">
      <x v="2"/>
    </i>
    <i r="2">
      <x v="3"/>
    </i>
    <i r="2">
      <x v="5"/>
    </i>
    <i r="2">
      <x v="7"/>
    </i>
    <i r="2">
      <x v="8"/>
    </i>
    <i r="2">
      <x v="9"/>
    </i>
    <i r="2">
      <x v="10"/>
    </i>
    <i r="1">
      <x v="1"/>
      <x v="2"/>
    </i>
    <i r="2">
      <x v="3"/>
    </i>
    <i r="2">
      <x v="4"/>
    </i>
    <i r="2">
      <x v="5"/>
    </i>
    <i t="grand">
      <x/>
    </i>
  </rowItems>
  <colItems count="1">
    <i/>
  </colItems>
  <dataFields count="1">
    <dataField name="Sum of Amoun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4F8FCD-33FD-4346-8C07-8AA9C5720382}" name="PivotTable1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9:D25" firstHeaderRow="1" firstDataRow="1" firstDataCol="1"/>
  <pivotFields count="5">
    <pivotField axis="axisRow" showAll="0">
      <items count="16">
        <item x="10"/>
        <item x="14"/>
        <item x="4"/>
        <item x="2"/>
        <item x="13"/>
        <item x="7"/>
        <item x="11"/>
        <item x="3"/>
        <item x="8"/>
        <item x="12"/>
        <item x="9"/>
        <item x="5"/>
        <item x="0"/>
        <item x="6"/>
        <item x="1"/>
        <item t="default"/>
      </items>
    </pivotField>
    <pivotField showAll="0"/>
    <pivotField showAll="0"/>
    <pivotField numFmtId="166" showAll="0"/>
    <pivotField dataField="1" numFmtId="166" showAll="0">
      <items count="389">
        <item x="43"/>
        <item x="55"/>
        <item x="49"/>
        <item x="54"/>
        <item x="60"/>
        <item x="58"/>
        <item x="39"/>
        <item x="59"/>
        <item x="100"/>
        <item x="181"/>
        <item x="56"/>
        <item x="50"/>
        <item x="15"/>
        <item x="365"/>
        <item x="139"/>
        <item x="268"/>
        <item x="186"/>
        <item x="179"/>
        <item x="38"/>
        <item x="52"/>
        <item x="48"/>
        <item x="79"/>
        <item x="145"/>
        <item x="144"/>
        <item x="110"/>
        <item x="42"/>
        <item x="6"/>
        <item x="170"/>
        <item x="150"/>
        <item x="187"/>
        <item x="182"/>
        <item x="239"/>
        <item x="317"/>
        <item x="367"/>
        <item x="44"/>
        <item x="53"/>
        <item x="263"/>
        <item x="138"/>
        <item x="47"/>
        <item x="261"/>
        <item x="152"/>
        <item x="190"/>
        <item x="185"/>
        <item x="151"/>
        <item x="149"/>
        <item x="65"/>
        <item x="20"/>
        <item x="245"/>
        <item x="180"/>
        <item x="64"/>
        <item x="137"/>
        <item x="366"/>
        <item x="169"/>
        <item x="184"/>
        <item x="319"/>
        <item x="188"/>
        <item x="148"/>
        <item x="40"/>
        <item x="71"/>
        <item x="311"/>
        <item x="159"/>
        <item x="375"/>
        <item x="376"/>
        <item x="346"/>
        <item x="61"/>
        <item x="57"/>
        <item x="119"/>
        <item x="175"/>
        <item x="214"/>
        <item x="316"/>
        <item x="384"/>
        <item x="191"/>
        <item x="172"/>
        <item x="243"/>
        <item x="298"/>
        <item x="74"/>
        <item x="382"/>
        <item x="342"/>
        <item x="33"/>
        <item x="301"/>
        <item x="73"/>
        <item x="292"/>
        <item x="141"/>
        <item x="370"/>
        <item x="284"/>
        <item x="306"/>
        <item x="329"/>
        <item x="238"/>
        <item x="312"/>
        <item x="168"/>
        <item x="109"/>
        <item x="279"/>
        <item x="267"/>
        <item x="262"/>
        <item x="313"/>
        <item x="107"/>
        <item x="51"/>
        <item x="105"/>
        <item x="372"/>
        <item x="272"/>
        <item x="350"/>
        <item x="228"/>
        <item x="27"/>
        <item x="128"/>
        <item x="260"/>
        <item x="189"/>
        <item x="125"/>
        <item x="41"/>
        <item x="244"/>
        <item x="18"/>
        <item x="290"/>
        <item x="94"/>
        <item x="322"/>
        <item x="72"/>
        <item x="225"/>
        <item x="21"/>
        <item x="178"/>
        <item x="341"/>
        <item x="45"/>
        <item x="343"/>
        <item x="327"/>
        <item x="328"/>
        <item x="167"/>
        <item x="147"/>
        <item x="291"/>
        <item x="252"/>
        <item x="232"/>
        <item x="325"/>
        <item x="123"/>
        <item x="173"/>
        <item x="114"/>
        <item x="174"/>
        <item x="134"/>
        <item x="265"/>
        <item x="340"/>
        <item x="0"/>
        <item x="140"/>
        <item x="271"/>
        <item x="304"/>
        <item x="101"/>
        <item x="314"/>
        <item x="165"/>
        <item x="240"/>
        <item x="81"/>
        <item x="133"/>
        <item x="99"/>
        <item x="111"/>
        <item x="285"/>
        <item x="216"/>
        <item x="104"/>
        <item x="237"/>
        <item x="374"/>
        <item x="281"/>
        <item x="363"/>
        <item x="315"/>
        <item x="345"/>
        <item x="334"/>
        <item x="233"/>
        <item x="242"/>
        <item x="112"/>
        <item x="354"/>
        <item x="26"/>
        <item x="213"/>
        <item x="31"/>
        <item x="76"/>
        <item x="46"/>
        <item x="70"/>
        <item x="386"/>
        <item x="303"/>
        <item x="256"/>
        <item x="157"/>
        <item x="121"/>
        <item x="77"/>
        <item x="295"/>
        <item x="255"/>
        <item x="369"/>
        <item x="333"/>
        <item x="270"/>
        <item x="78"/>
        <item x="288"/>
        <item x="368"/>
        <item x="387"/>
        <item x="205"/>
        <item x="116"/>
        <item x="155"/>
        <item x="357"/>
        <item x="166"/>
        <item x="293"/>
        <item x="280"/>
        <item x="146"/>
        <item x="320"/>
        <item x="211"/>
        <item x="183"/>
        <item x="17"/>
        <item x="362"/>
        <item x="130"/>
        <item x="276"/>
        <item x="16"/>
        <item x="91"/>
        <item x="117"/>
        <item x="2"/>
        <item x="66"/>
        <item x="108"/>
        <item x="336"/>
        <item x="226"/>
        <item x="136"/>
        <item x="96"/>
        <item x="62"/>
        <item x="32"/>
        <item x="75"/>
        <item x="67"/>
        <item x="381"/>
        <item x="215"/>
        <item x="1"/>
        <item x="204"/>
        <item x="300"/>
        <item x="236"/>
        <item x="286"/>
        <item x="299"/>
        <item x="235"/>
        <item x="344"/>
        <item x="212"/>
        <item x="297"/>
        <item x="361"/>
        <item x="171"/>
        <item x="318"/>
        <item x="264"/>
        <item x="63"/>
        <item x="323"/>
        <item x="177"/>
        <item x="161"/>
        <item x="163"/>
        <item x="82"/>
        <item x="326"/>
        <item x="129"/>
        <item x="11"/>
        <item x="385"/>
        <item x="160"/>
        <item x="84"/>
        <item x="296"/>
        <item x="23"/>
        <item x="200"/>
        <item x="220"/>
        <item x="282"/>
        <item x="349"/>
        <item x="324"/>
        <item x="90"/>
        <item x="7"/>
        <item x="283"/>
        <item x="277"/>
        <item x="208"/>
        <item x="230"/>
        <item x="380"/>
        <item x="259"/>
        <item x="269"/>
        <item x="93"/>
        <item x="158"/>
        <item x="308"/>
        <item x="355"/>
        <item x="258"/>
        <item x="310"/>
        <item x="224"/>
        <item x="348"/>
        <item x="307"/>
        <item x="231"/>
        <item x="143"/>
        <item x="3"/>
        <item x="30"/>
        <item x="331"/>
        <item x="335"/>
        <item x="273"/>
        <item x="106"/>
        <item x="356"/>
        <item x="241"/>
        <item x="358"/>
        <item x="305"/>
        <item x="142"/>
        <item x="5"/>
        <item x="360"/>
        <item x="337"/>
        <item x="222"/>
        <item x="373"/>
        <item x="85"/>
        <item x="347"/>
        <item x="102"/>
        <item x="227"/>
        <item x="103"/>
        <item x="120"/>
        <item x="351"/>
        <item x="131"/>
        <item x="217"/>
        <item x="257"/>
        <item x="153"/>
        <item x="359"/>
        <item x="92"/>
        <item x="126"/>
        <item x="379"/>
        <item x="234"/>
        <item x="229"/>
        <item x="80"/>
        <item x="156"/>
        <item x="95"/>
        <item x="124"/>
        <item x="122"/>
        <item x="14"/>
        <item x="86"/>
        <item x="289"/>
        <item x="97"/>
        <item x="377"/>
        <item x="321"/>
        <item x="251"/>
        <item x="83"/>
        <item x="275"/>
        <item x="68"/>
        <item x="12"/>
        <item x="10"/>
        <item x="266"/>
        <item x="25"/>
        <item x="115"/>
        <item x="378"/>
        <item x="176"/>
        <item x="353"/>
        <item x="221"/>
        <item x="364"/>
        <item x="198"/>
        <item x="278"/>
        <item x="162"/>
        <item x="294"/>
        <item x="113"/>
        <item x="219"/>
        <item x="371"/>
        <item x="135"/>
        <item x="35"/>
        <item x="223"/>
        <item x="254"/>
        <item x="274"/>
        <item x="195"/>
        <item x="194"/>
        <item x="8"/>
        <item x="87"/>
        <item x="118"/>
        <item x="37"/>
        <item x="209"/>
        <item x="98"/>
        <item x="19"/>
        <item x="22"/>
        <item x="302"/>
        <item x="36"/>
        <item x="164"/>
        <item x="309"/>
        <item x="196"/>
        <item x="193"/>
        <item x="206"/>
        <item x="13"/>
        <item x="210"/>
        <item x="24"/>
        <item x="207"/>
        <item x="89"/>
        <item x="247"/>
        <item x="383"/>
        <item x="338"/>
        <item x="4"/>
        <item x="132"/>
        <item x="199"/>
        <item x="253"/>
        <item x="202"/>
        <item x="246"/>
        <item x="352"/>
        <item x="287"/>
        <item x="127"/>
        <item x="9"/>
        <item x="197"/>
        <item x="330"/>
        <item x="29"/>
        <item x="250"/>
        <item x="88"/>
        <item x="69"/>
        <item x="192"/>
        <item x="248"/>
        <item x="28"/>
        <item x="339"/>
        <item x="203"/>
        <item x="154"/>
        <item x="218"/>
        <item x="201"/>
        <item x="34"/>
        <item x="249"/>
        <item x="332"/>
        <item t="default"/>
      </items>
    </pivotField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R17"/>
  <sheetViews>
    <sheetView showGridLines="0" tabSelected="1" zoomScale="70" zoomScaleNormal="70" workbookViewId="0"/>
  </sheetViews>
  <sheetFormatPr baseColWidth="10" defaultColWidth="8.83203125" defaultRowHeight="15" x14ac:dyDescent="0.2"/>
  <cols>
    <col min="11" max="11" width="44.5" customWidth="1"/>
  </cols>
  <sheetData>
    <row r="2" spans="3:18" ht="33" x14ac:dyDescent="0.35">
      <c r="C2" s="109" t="s">
        <v>144</v>
      </c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"/>
    </row>
    <row r="3" spans="3:18" ht="33" x14ac:dyDescent="0.35"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1"/>
    </row>
    <row r="4" spans="3:18" ht="34" thickBot="1" x14ac:dyDescent="0.4"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1"/>
    </row>
    <row r="5" spans="3:18" ht="29" thickBot="1" x14ac:dyDescent="0.35">
      <c r="C5" s="110" t="s">
        <v>0</v>
      </c>
      <c r="D5" s="110"/>
      <c r="E5" s="111"/>
      <c r="F5" s="112" t="s">
        <v>177</v>
      </c>
      <c r="G5" s="113"/>
      <c r="H5" s="113"/>
      <c r="I5" s="113"/>
      <c r="J5" s="113"/>
      <c r="K5" s="114"/>
      <c r="L5" s="2"/>
      <c r="M5" s="2"/>
      <c r="N5" s="3"/>
      <c r="O5" s="115" t="s">
        <v>34</v>
      </c>
      <c r="P5" s="116"/>
      <c r="Q5" s="116"/>
      <c r="R5" s="117"/>
    </row>
    <row r="6" spans="3:18" ht="29" thickBot="1" x14ac:dyDescent="0.35">
      <c r="C6" s="4"/>
      <c r="D6" s="4"/>
      <c r="E6" s="4"/>
      <c r="F6" s="5"/>
      <c r="G6" s="5"/>
      <c r="H6" s="5"/>
      <c r="I6" s="5"/>
      <c r="J6" s="5"/>
      <c r="K6" s="5"/>
      <c r="L6" s="2"/>
      <c r="M6" s="2"/>
      <c r="N6" s="3"/>
      <c r="O6" s="118" t="s">
        <v>139</v>
      </c>
      <c r="P6" s="119"/>
      <c r="Q6" s="119"/>
      <c r="R6" s="120"/>
    </row>
    <row r="7" spans="3:18" ht="29" thickBot="1" x14ac:dyDescent="0.35">
      <c r="C7" s="4"/>
      <c r="D7" s="4"/>
      <c r="E7" s="4"/>
      <c r="F7" s="22"/>
      <c r="G7" s="22"/>
      <c r="H7" s="22"/>
      <c r="I7" s="22"/>
      <c r="J7" s="22"/>
      <c r="K7" s="22"/>
      <c r="L7" s="2"/>
      <c r="M7" s="2"/>
      <c r="N7" s="3"/>
      <c r="O7" s="107" t="s">
        <v>140</v>
      </c>
      <c r="P7" s="108"/>
      <c r="Q7" s="107"/>
      <c r="R7" s="108"/>
    </row>
    <row r="8" spans="3:18" ht="23" x14ac:dyDescent="0.25">
      <c r="C8" s="6"/>
      <c r="D8" s="6" t="s">
        <v>36</v>
      </c>
      <c r="E8" s="6"/>
      <c r="F8" s="6"/>
      <c r="G8" s="6"/>
      <c r="H8" s="7"/>
      <c r="I8" s="7"/>
      <c r="J8" s="7"/>
      <c r="K8" s="7"/>
    </row>
    <row r="9" spans="3:18" ht="23" x14ac:dyDescent="0.25">
      <c r="C9" s="7"/>
      <c r="D9" s="7"/>
      <c r="E9" s="6" t="s">
        <v>145</v>
      </c>
      <c r="F9" s="7"/>
      <c r="G9" s="7"/>
      <c r="H9" s="7"/>
      <c r="I9" s="7"/>
      <c r="J9" s="7"/>
      <c r="K9" s="7"/>
    </row>
    <row r="10" spans="3:18" ht="23" x14ac:dyDescent="0.25">
      <c r="E10" s="6" t="s">
        <v>146</v>
      </c>
    </row>
    <row r="11" spans="3:18" ht="23" x14ac:dyDescent="0.25">
      <c r="E11" s="6"/>
    </row>
    <row r="12" spans="3:18" ht="23" x14ac:dyDescent="0.25">
      <c r="E12" s="6"/>
    </row>
    <row r="13" spans="3:18" ht="23" x14ac:dyDescent="0.25">
      <c r="E13" s="6"/>
    </row>
    <row r="14" spans="3:18" ht="23" x14ac:dyDescent="0.25">
      <c r="E14" s="6"/>
    </row>
    <row r="15" spans="3:18" ht="23" x14ac:dyDescent="0.25">
      <c r="E15" s="6"/>
    </row>
    <row r="16" spans="3:18" ht="23" x14ac:dyDescent="0.25">
      <c r="E16" s="6"/>
    </row>
    <row r="17" spans="5:5" ht="23" x14ac:dyDescent="0.25">
      <c r="E17" s="6"/>
    </row>
  </sheetData>
  <mergeCells count="7">
    <mergeCell ref="O7:P7"/>
    <mergeCell ref="Q7:R7"/>
    <mergeCell ref="C2:N2"/>
    <mergeCell ref="C5:E5"/>
    <mergeCell ref="F5:K5"/>
    <mergeCell ref="O5:R5"/>
    <mergeCell ref="O6:R6"/>
  </mergeCells>
  <pageMargins left="0.7" right="0.7" top="0.75" bottom="0.75" header="0.3" footer="0.3"/>
  <pageSetup orientation="portrait" r:id="rId1"/>
  <headerFooter>
    <oddFooter>&amp;L9/7/2017&amp;CAXP Internal&amp;R1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3:R27"/>
  <sheetViews>
    <sheetView showGridLines="0" zoomScaleNormal="70" workbookViewId="0"/>
  </sheetViews>
  <sheetFormatPr baseColWidth="10" defaultColWidth="8.83203125" defaultRowHeight="15" x14ac:dyDescent="0.2"/>
  <cols>
    <col min="5" max="5" width="10.6640625" customWidth="1"/>
    <col min="6" max="6" width="21.6640625" bestFit="1" customWidth="1"/>
    <col min="7" max="7" width="11" bestFit="1" customWidth="1"/>
    <col min="8" max="8" width="8.33203125" bestFit="1" customWidth="1"/>
    <col min="9" max="9" width="18.5" bestFit="1" customWidth="1"/>
    <col min="10" max="11" width="18.5" customWidth="1"/>
    <col min="13" max="13" width="12" customWidth="1"/>
  </cols>
  <sheetData>
    <row r="3" spans="3:18" ht="23" x14ac:dyDescent="0.25">
      <c r="C3" s="24" t="s">
        <v>1</v>
      </c>
      <c r="D3" s="25"/>
      <c r="E3" s="25"/>
      <c r="F3" s="8"/>
      <c r="G3" s="9"/>
      <c r="H3" s="7"/>
      <c r="I3" s="7"/>
      <c r="J3" s="7"/>
      <c r="K3" s="7"/>
      <c r="L3" s="7"/>
      <c r="M3" s="7"/>
      <c r="N3" s="7"/>
      <c r="O3" s="7"/>
      <c r="P3" s="7"/>
      <c r="Q3" s="7"/>
    </row>
    <row r="4" spans="3:18" ht="23" x14ac:dyDescent="0.25">
      <c r="C4" s="6"/>
      <c r="D4" s="8"/>
      <c r="E4" s="8" t="s">
        <v>147</v>
      </c>
      <c r="F4" s="8"/>
      <c r="G4" s="9"/>
      <c r="H4" s="7"/>
      <c r="I4" s="7"/>
      <c r="J4" s="7"/>
      <c r="K4" s="63" t="s">
        <v>114</v>
      </c>
      <c r="L4" s="7">
        <v>2</v>
      </c>
      <c r="M4" s="7"/>
      <c r="N4" s="7"/>
      <c r="O4" s="7"/>
      <c r="P4" s="7"/>
      <c r="Q4" s="7"/>
    </row>
    <row r="5" spans="3:18" ht="23" x14ac:dyDescent="0.25">
      <c r="C5" s="6"/>
      <c r="D5" s="8"/>
      <c r="E5" s="8" t="s">
        <v>148</v>
      </c>
      <c r="F5" s="8"/>
      <c r="G5" s="9"/>
      <c r="H5" s="7"/>
      <c r="I5" s="7"/>
      <c r="J5" s="7"/>
      <c r="K5" s="63" t="s">
        <v>114</v>
      </c>
      <c r="L5" s="7">
        <v>2</v>
      </c>
      <c r="M5" s="7"/>
      <c r="N5" s="7"/>
      <c r="O5" s="7"/>
      <c r="P5" s="7"/>
      <c r="Q5" s="7"/>
    </row>
    <row r="6" spans="3:18" ht="23" x14ac:dyDescent="0.25">
      <c r="C6" s="6"/>
      <c r="D6" s="8"/>
      <c r="E6" s="8"/>
      <c r="F6" s="8"/>
      <c r="G6" s="9"/>
      <c r="H6" s="7"/>
      <c r="I6" s="7"/>
      <c r="J6" s="7"/>
      <c r="K6" s="7"/>
      <c r="L6" s="7"/>
      <c r="M6" s="7"/>
      <c r="N6" s="7"/>
      <c r="O6" s="7"/>
      <c r="P6" s="7"/>
      <c r="Q6" s="7"/>
    </row>
    <row r="7" spans="3:18" ht="18" x14ac:dyDescent="0.2">
      <c r="C7" s="7"/>
      <c r="D7" s="9"/>
      <c r="E7" s="10" t="s">
        <v>2</v>
      </c>
      <c r="F7" s="11" t="s">
        <v>0</v>
      </c>
      <c r="G7" s="11" t="s">
        <v>3</v>
      </c>
      <c r="H7" s="11" t="s">
        <v>4</v>
      </c>
      <c r="I7" s="12" t="s">
        <v>5</v>
      </c>
      <c r="J7" s="12" t="s">
        <v>35</v>
      </c>
      <c r="K7" s="10" t="s">
        <v>37</v>
      </c>
      <c r="L7" s="7"/>
      <c r="M7" s="10" t="s">
        <v>6</v>
      </c>
      <c r="N7" s="7"/>
      <c r="O7" s="7"/>
      <c r="P7" s="7"/>
      <c r="Q7" s="7"/>
    </row>
    <row r="8" spans="3:18" ht="18" x14ac:dyDescent="0.2">
      <c r="C8" s="7"/>
      <c r="D8" s="9"/>
      <c r="E8" s="13">
        <v>1</v>
      </c>
      <c r="F8" s="14" t="s">
        <v>7</v>
      </c>
      <c r="G8" s="14" t="s">
        <v>8</v>
      </c>
      <c r="H8" s="14" t="s">
        <v>9</v>
      </c>
      <c r="I8" s="15">
        <v>2000</v>
      </c>
      <c r="J8" s="75">
        <f>M8*I8</f>
        <v>600</v>
      </c>
      <c r="K8" s="75">
        <f>RANK(J8,$J$8:$J$27)</f>
        <v>17</v>
      </c>
      <c r="L8" s="7"/>
      <c r="M8" s="16">
        <v>0.3</v>
      </c>
      <c r="N8" s="7"/>
      <c r="O8" s="7"/>
      <c r="P8" s="7"/>
      <c r="Q8" s="7"/>
    </row>
    <row r="9" spans="3:18" ht="18" x14ac:dyDescent="0.2">
      <c r="C9" s="7"/>
      <c r="D9" s="9"/>
      <c r="E9" s="17">
        <v>2</v>
      </c>
      <c r="F9" s="18" t="s">
        <v>10</v>
      </c>
      <c r="G9" s="18" t="s">
        <v>11</v>
      </c>
      <c r="H9" s="18" t="s">
        <v>9</v>
      </c>
      <c r="I9" s="19">
        <v>2000</v>
      </c>
      <c r="J9" s="75">
        <f t="shared" ref="J9:J27" si="0">M9*I9</f>
        <v>600</v>
      </c>
      <c r="K9" s="75">
        <f t="shared" ref="K9:K27" si="1">RANK(J9,$J$8:$J$27)</f>
        <v>17</v>
      </c>
      <c r="L9" s="7"/>
      <c r="M9" s="16">
        <v>0.3</v>
      </c>
      <c r="N9" s="7"/>
      <c r="O9" s="7"/>
      <c r="P9" s="7"/>
      <c r="Q9" s="7"/>
    </row>
    <row r="10" spans="3:18" ht="18" x14ac:dyDescent="0.2">
      <c r="C10" s="7"/>
      <c r="D10" s="9"/>
      <c r="E10" s="17">
        <v>3</v>
      </c>
      <c r="F10" s="18" t="s">
        <v>12</v>
      </c>
      <c r="G10" s="18" t="s">
        <v>11</v>
      </c>
      <c r="H10" s="18" t="s">
        <v>13</v>
      </c>
      <c r="I10" s="19">
        <v>1000</v>
      </c>
      <c r="J10" s="75">
        <f t="shared" si="0"/>
        <v>300</v>
      </c>
      <c r="K10" s="75">
        <f t="shared" si="1"/>
        <v>20</v>
      </c>
      <c r="L10" s="7"/>
      <c r="M10" s="16">
        <v>0.3</v>
      </c>
      <c r="N10" s="7"/>
      <c r="O10" s="7"/>
      <c r="P10" s="7"/>
      <c r="Q10" s="7"/>
    </row>
    <row r="11" spans="3:18" ht="18" x14ac:dyDescent="0.2">
      <c r="C11" s="7"/>
      <c r="D11" s="9"/>
      <c r="E11" s="17">
        <v>4</v>
      </c>
      <c r="F11" s="20" t="s">
        <v>14</v>
      </c>
      <c r="G11" s="20" t="s">
        <v>11</v>
      </c>
      <c r="H11" s="20" t="s">
        <v>13</v>
      </c>
      <c r="I11" s="19">
        <v>35000</v>
      </c>
      <c r="J11" s="75">
        <f t="shared" si="0"/>
        <v>10500</v>
      </c>
      <c r="K11" s="75">
        <f t="shared" si="1"/>
        <v>1</v>
      </c>
      <c r="L11" s="7"/>
      <c r="M11" s="16">
        <v>0.3</v>
      </c>
      <c r="N11" s="7"/>
      <c r="O11" s="7"/>
      <c r="P11" s="7"/>
      <c r="Q11" s="7"/>
    </row>
    <row r="12" spans="3:18" ht="18" x14ac:dyDescent="0.2">
      <c r="C12" s="7"/>
      <c r="D12" s="9"/>
      <c r="E12" s="17">
        <v>5</v>
      </c>
      <c r="F12" s="20" t="s">
        <v>14</v>
      </c>
      <c r="G12" s="20" t="s">
        <v>15</v>
      </c>
      <c r="H12" s="20" t="s">
        <v>16</v>
      </c>
      <c r="I12" s="19">
        <v>30000</v>
      </c>
      <c r="J12" s="75">
        <f t="shared" si="0"/>
        <v>9000</v>
      </c>
      <c r="K12" s="75">
        <f t="shared" si="1"/>
        <v>2</v>
      </c>
      <c r="L12" s="7"/>
      <c r="M12" s="16">
        <v>0.3</v>
      </c>
      <c r="N12" s="7"/>
      <c r="O12" s="7"/>
      <c r="P12" s="7"/>
      <c r="Q12" s="7"/>
    </row>
    <row r="13" spans="3:18" ht="18" x14ac:dyDescent="0.2">
      <c r="C13" s="7"/>
      <c r="D13" s="9"/>
      <c r="E13" s="17">
        <v>6</v>
      </c>
      <c r="F13" s="20" t="s">
        <v>17</v>
      </c>
      <c r="G13" s="20" t="s">
        <v>15</v>
      </c>
      <c r="H13" s="20" t="s">
        <v>16</v>
      </c>
      <c r="I13" s="19">
        <v>11000</v>
      </c>
      <c r="J13" s="75">
        <f t="shared" si="0"/>
        <v>3300</v>
      </c>
      <c r="K13" s="75">
        <f t="shared" si="1"/>
        <v>11</v>
      </c>
      <c r="L13" s="7"/>
      <c r="M13" s="16">
        <v>0.3</v>
      </c>
      <c r="N13" s="7"/>
      <c r="O13" s="7"/>
      <c r="P13" s="7"/>
      <c r="Q13" s="7"/>
      <c r="R13" s="98"/>
    </row>
    <row r="14" spans="3:18" ht="18" x14ac:dyDescent="0.2">
      <c r="C14" s="7"/>
      <c r="D14" s="9"/>
      <c r="E14" s="17">
        <v>7</v>
      </c>
      <c r="F14" s="18" t="s">
        <v>18</v>
      </c>
      <c r="G14" s="18" t="s">
        <v>19</v>
      </c>
      <c r="H14" s="18" t="s">
        <v>13</v>
      </c>
      <c r="I14" s="19">
        <v>17000</v>
      </c>
      <c r="J14" s="75">
        <f t="shared" si="0"/>
        <v>5100</v>
      </c>
      <c r="K14" s="75">
        <f t="shared" si="1"/>
        <v>5</v>
      </c>
      <c r="L14" s="7"/>
      <c r="M14" s="16">
        <v>0.3</v>
      </c>
      <c r="N14" s="7"/>
      <c r="O14" s="7"/>
      <c r="P14" s="7"/>
      <c r="Q14" s="7"/>
    </row>
    <row r="15" spans="3:18" ht="18" x14ac:dyDescent="0.2">
      <c r="C15" s="7"/>
      <c r="D15" s="9"/>
      <c r="E15" s="17">
        <v>8</v>
      </c>
      <c r="F15" s="18" t="s">
        <v>20</v>
      </c>
      <c r="G15" s="18" t="s">
        <v>15</v>
      </c>
      <c r="H15" s="18" t="s">
        <v>16</v>
      </c>
      <c r="I15" s="19">
        <v>6000</v>
      </c>
      <c r="J15" s="75">
        <f t="shared" si="0"/>
        <v>1800</v>
      </c>
      <c r="K15" s="75">
        <f t="shared" si="1"/>
        <v>15</v>
      </c>
      <c r="L15" s="7"/>
      <c r="M15" s="16">
        <v>0.3</v>
      </c>
      <c r="N15" s="7"/>
      <c r="O15" s="7"/>
      <c r="P15" s="7"/>
      <c r="Q15" s="7"/>
    </row>
    <row r="16" spans="3:18" ht="23" x14ac:dyDescent="0.25">
      <c r="C16" s="6"/>
      <c r="D16" s="8"/>
      <c r="E16" s="17">
        <v>9</v>
      </c>
      <c r="F16" s="20" t="s">
        <v>21</v>
      </c>
      <c r="G16" s="20" t="s">
        <v>19</v>
      </c>
      <c r="H16" s="20" t="s">
        <v>16</v>
      </c>
      <c r="I16" s="19">
        <v>10000</v>
      </c>
      <c r="J16" s="75">
        <f t="shared" si="0"/>
        <v>3000</v>
      </c>
      <c r="K16" s="75">
        <f t="shared" si="1"/>
        <v>13</v>
      </c>
      <c r="L16" s="6"/>
      <c r="M16" s="16">
        <v>0.3</v>
      </c>
      <c r="N16" s="6"/>
      <c r="O16" s="7"/>
      <c r="P16" s="7"/>
      <c r="Q16" s="7"/>
    </row>
    <row r="17" spans="3:17" ht="23" x14ac:dyDescent="0.25">
      <c r="C17" s="6"/>
      <c r="D17" s="8"/>
      <c r="E17" s="17">
        <v>10</v>
      </c>
      <c r="F17" s="18" t="s">
        <v>22</v>
      </c>
      <c r="G17" s="18" t="s">
        <v>8</v>
      </c>
      <c r="H17" s="97" t="s">
        <v>16</v>
      </c>
      <c r="I17" s="19">
        <v>21000</v>
      </c>
      <c r="J17" s="75">
        <f t="shared" si="0"/>
        <v>6300</v>
      </c>
      <c r="K17" s="75">
        <f t="shared" si="1"/>
        <v>4</v>
      </c>
      <c r="L17" s="6"/>
      <c r="M17" s="16">
        <v>0.3</v>
      </c>
      <c r="N17" s="6"/>
      <c r="O17" s="7"/>
      <c r="P17" s="7"/>
      <c r="Q17" s="7"/>
    </row>
    <row r="18" spans="3:17" ht="23" x14ac:dyDescent="0.25">
      <c r="C18" s="6"/>
      <c r="D18" s="8"/>
      <c r="E18" s="21">
        <v>11</v>
      </c>
      <c r="F18" s="18" t="s">
        <v>23</v>
      </c>
      <c r="G18" s="18" t="s">
        <v>15</v>
      </c>
      <c r="H18" s="18" t="s">
        <v>13</v>
      </c>
      <c r="I18" s="19">
        <v>22000</v>
      </c>
      <c r="J18" s="75">
        <f t="shared" si="0"/>
        <v>6600</v>
      </c>
      <c r="K18" s="75">
        <f t="shared" si="1"/>
        <v>3</v>
      </c>
      <c r="L18" s="6"/>
      <c r="M18" s="16">
        <v>0.3</v>
      </c>
      <c r="N18" s="6"/>
      <c r="O18" s="7"/>
      <c r="P18" s="7"/>
      <c r="Q18" s="7"/>
    </row>
    <row r="19" spans="3:17" ht="23" x14ac:dyDescent="0.25">
      <c r="C19" s="6"/>
      <c r="D19" s="8"/>
      <c r="E19" s="21">
        <v>12</v>
      </c>
      <c r="F19" s="20" t="s">
        <v>24</v>
      </c>
      <c r="G19" s="20" t="s">
        <v>19</v>
      </c>
      <c r="H19" s="20" t="s">
        <v>13</v>
      </c>
      <c r="I19" s="19">
        <v>14000</v>
      </c>
      <c r="J19" s="75">
        <f t="shared" si="0"/>
        <v>4200</v>
      </c>
      <c r="K19" s="75">
        <f t="shared" si="1"/>
        <v>6</v>
      </c>
      <c r="L19" s="6"/>
      <c r="M19" s="16">
        <v>0.3</v>
      </c>
      <c r="N19" s="6"/>
      <c r="O19" s="7"/>
      <c r="P19" s="7"/>
      <c r="Q19" s="7"/>
    </row>
    <row r="20" spans="3:17" ht="23" x14ac:dyDescent="0.25">
      <c r="C20" s="6"/>
      <c r="D20" s="8"/>
      <c r="E20" s="21">
        <v>13</v>
      </c>
      <c r="F20" s="18" t="s">
        <v>25</v>
      </c>
      <c r="G20" s="18" t="s">
        <v>8</v>
      </c>
      <c r="H20" s="18" t="s">
        <v>26</v>
      </c>
      <c r="I20" s="19">
        <v>5000</v>
      </c>
      <c r="J20" s="75">
        <f t="shared" si="0"/>
        <v>1500</v>
      </c>
      <c r="K20" s="75">
        <f t="shared" si="1"/>
        <v>16</v>
      </c>
      <c r="L20" s="6"/>
      <c r="M20" s="16">
        <v>0.3</v>
      </c>
      <c r="N20" s="6"/>
      <c r="O20" s="7"/>
      <c r="P20" s="7"/>
      <c r="Q20" s="7"/>
    </row>
    <row r="21" spans="3:17" ht="23" x14ac:dyDescent="0.25">
      <c r="C21" s="6"/>
      <c r="D21" s="8"/>
      <c r="E21" s="21">
        <v>14</v>
      </c>
      <c r="F21" s="20" t="s">
        <v>27</v>
      </c>
      <c r="G21" s="20" t="s">
        <v>19</v>
      </c>
      <c r="H21" s="20" t="s">
        <v>9</v>
      </c>
      <c r="I21" s="19">
        <v>12000</v>
      </c>
      <c r="J21" s="75">
        <f t="shared" si="0"/>
        <v>3600</v>
      </c>
      <c r="K21" s="75">
        <f t="shared" si="1"/>
        <v>8</v>
      </c>
      <c r="L21" s="6"/>
      <c r="M21" s="16">
        <v>0.3</v>
      </c>
      <c r="N21" s="6"/>
      <c r="O21" s="7"/>
      <c r="P21" s="7"/>
      <c r="Q21" s="7"/>
    </row>
    <row r="22" spans="3:17" ht="23" x14ac:dyDescent="0.25">
      <c r="C22" s="6"/>
      <c r="D22" s="8"/>
      <c r="E22" s="21">
        <v>15</v>
      </c>
      <c r="F22" s="20" t="s">
        <v>28</v>
      </c>
      <c r="G22" s="20" t="s">
        <v>8</v>
      </c>
      <c r="H22" s="20" t="s">
        <v>26</v>
      </c>
      <c r="I22" s="19">
        <v>12000</v>
      </c>
      <c r="J22" s="75">
        <f t="shared" si="0"/>
        <v>3600</v>
      </c>
      <c r="K22" s="75">
        <f t="shared" si="1"/>
        <v>8</v>
      </c>
      <c r="L22" s="6"/>
      <c r="M22" s="16">
        <v>0.3</v>
      </c>
      <c r="N22" s="6"/>
      <c r="O22" s="7"/>
      <c r="P22" s="7"/>
      <c r="Q22" s="7"/>
    </row>
    <row r="23" spans="3:17" ht="23" x14ac:dyDescent="0.25">
      <c r="C23" s="6"/>
      <c r="D23" s="8"/>
      <c r="E23" s="21">
        <v>16</v>
      </c>
      <c r="F23" s="18" t="s">
        <v>29</v>
      </c>
      <c r="G23" s="18" t="s">
        <v>8</v>
      </c>
      <c r="H23" s="18" t="s">
        <v>13</v>
      </c>
      <c r="I23" s="19">
        <v>13000</v>
      </c>
      <c r="J23" s="75">
        <f t="shared" si="0"/>
        <v>3900</v>
      </c>
      <c r="K23" s="75">
        <f t="shared" si="1"/>
        <v>7</v>
      </c>
      <c r="L23" s="6"/>
      <c r="M23" s="16">
        <v>0.3</v>
      </c>
      <c r="N23" s="6"/>
      <c r="O23" s="7"/>
      <c r="P23" s="7"/>
      <c r="Q23" s="7"/>
    </row>
    <row r="24" spans="3:17" ht="23" x14ac:dyDescent="0.25">
      <c r="C24" s="6"/>
      <c r="D24" s="8"/>
      <c r="E24" s="21">
        <v>17</v>
      </c>
      <c r="F24" s="18" t="s">
        <v>30</v>
      </c>
      <c r="G24" s="18" t="s">
        <v>19</v>
      </c>
      <c r="H24" s="18" t="s">
        <v>9</v>
      </c>
      <c r="I24" s="19">
        <v>1400</v>
      </c>
      <c r="J24" s="75">
        <f t="shared" si="0"/>
        <v>420</v>
      </c>
      <c r="K24" s="75">
        <f t="shared" si="1"/>
        <v>19</v>
      </c>
      <c r="L24" s="6"/>
      <c r="M24" s="16">
        <v>0.3</v>
      </c>
      <c r="N24" s="6"/>
      <c r="O24" s="7"/>
      <c r="P24" s="7"/>
      <c r="Q24" s="7"/>
    </row>
    <row r="25" spans="3:17" ht="23" x14ac:dyDescent="0.25">
      <c r="C25" s="6"/>
      <c r="D25" s="8"/>
      <c r="E25" s="21">
        <v>18</v>
      </c>
      <c r="F25" s="20" t="s">
        <v>31</v>
      </c>
      <c r="G25" s="20" t="s">
        <v>11</v>
      </c>
      <c r="H25" s="20" t="s">
        <v>9</v>
      </c>
      <c r="I25" s="19">
        <v>11000</v>
      </c>
      <c r="J25" s="75">
        <f t="shared" si="0"/>
        <v>3300</v>
      </c>
      <c r="K25" s="75">
        <f t="shared" si="1"/>
        <v>11</v>
      </c>
      <c r="L25" s="6"/>
      <c r="M25" s="16">
        <v>0.3</v>
      </c>
      <c r="N25" s="6"/>
      <c r="O25" s="7"/>
      <c r="P25" s="7"/>
      <c r="Q25" s="7"/>
    </row>
    <row r="26" spans="3:17" ht="23" x14ac:dyDescent="0.25">
      <c r="C26" s="6"/>
      <c r="D26" s="8"/>
      <c r="E26" s="21">
        <v>19</v>
      </c>
      <c r="F26" s="20" t="s">
        <v>32</v>
      </c>
      <c r="G26" s="20" t="s">
        <v>8</v>
      </c>
      <c r="H26" s="20" t="s">
        <v>26</v>
      </c>
      <c r="I26" s="19">
        <v>12000</v>
      </c>
      <c r="J26" s="75">
        <f t="shared" si="0"/>
        <v>3600</v>
      </c>
      <c r="K26" s="75">
        <f t="shared" si="1"/>
        <v>8</v>
      </c>
      <c r="L26" s="6"/>
      <c r="M26" s="16">
        <v>0.3</v>
      </c>
      <c r="N26" s="6"/>
      <c r="O26" s="7"/>
      <c r="P26" s="7"/>
      <c r="Q26" s="7"/>
    </row>
    <row r="27" spans="3:17" ht="23" x14ac:dyDescent="0.25">
      <c r="C27" s="6"/>
      <c r="D27" s="8"/>
      <c r="E27" s="21">
        <v>20</v>
      </c>
      <c r="F27" s="18" t="s">
        <v>33</v>
      </c>
      <c r="G27" s="18" t="s">
        <v>11</v>
      </c>
      <c r="H27" s="18" t="s">
        <v>26</v>
      </c>
      <c r="I27" s="19">
        <v>7000</v>
      </c>
      <c r="J27" s="75">
        <f t="shared" si="0"/>
        <v>2100</v>
      </c>
      <c r="K27" s="75">
        <f t="shared" si="1"/>
        <v>14</v>
      </c>
      <c r="L27" s="6"/>
      <c r="M27" s="16">
        <v>0.3</v>
      </c>
      <c r="N27" s="6"/>
      <c r="O27" s="7"/>
      <c r="P27" s="7"/>
      <c r="Q27" s="7"/>
    </row>
  </sheetData>
  <sortState xmlns:xlrd2="http://schemas.microsoft.com/office/spreadsheetml/2017/richdata2" ref="E8:K27">
    <sortCondition ref="J8:J27"/>
  </sortState>
  <dataValidations count="2">
    <dataValidation type="list" allowBlank="1" showInputMessage="1" showErrorMessage="1" sqref="H14" xr:uid="{00000000-0002-0000-0100-000000000000}">
      <formula1>#REF!</formula1>
    </dataValidation>
    <dataValidation type="textLength" operator="lessThanOrEqual" allowBlank="1" showInputMessage="1" showErrorMessage="1" sqref="H13" xr:uid="{00000000-0002-0000-0100-000001000000}">
      <formula1>5</formula1>
    </dataValidation>
  </dataValidations>
  <pageMargins left="0.7" right="0.7" top="0.75" bottom="0.75" header="0.3" footer="0.3"/>
  <pageSetup orientation="portrait" r:id="rId1"/>
  <headerFooter>
    <oddFooter>&amp;L9/7/2017&amp;CAXP Internal&amp;R2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4:P34"/>
  <sheetViews>
    <sheetView showGridLines="0" zoomScaleNormal="70" workbookViewId="0"/>
  </sheetViews>
  <sheetFormatPr baseColWidth="10" defaultColWidth="8.83203125" defaultRowHeight="15" x14ac:dyDescent="0.2"/>
  <cols>
    <col min="5" max="5" width="7.6640625" customWidth="1"/>
    <col min="6" max="6" width="20.33203125" customWidth="1"/>
    <col min="7" max="7" width="18.6640625" customWidth="1"/>
    <col min="8" max="8" width="17.6640625" customWidth="1"/>
    <col min="9" max="9" width="19.33203125" customWidth="1"/>
    <col min="10" max="10" width="16.83203125" customWidth="1"/>
    <col min="12" max="12" width="19.5" customWidth="1"/>
    <col min="13" max="13" width="22.5" customWidth="1"/>
    <col min="14" max="14" width="21.5" customWidth="1"/>
    <col min="15" max="15" width="25.33203125" customWidth="1"/>
    <col min="16" max="16" width="25.5" customWidth="1"/>
  </cols>
  <sheetData>
    <row r="4" spans="3:16" ht="16" x14ac:dyDescent="0.2">
      <c r="L4" s="26"/>
    </row>
    <row r="5" spans="3:16" ht="23" x14ac:dyDescent="0.25">
      <c r="C5" s="24" t="s">
        <v>50</v>
      </c>
      <c r="D5" s="25"/>
      <c r="E5" s="8" t="s">
        <v>49</v>
      </c>
      <c r="F5" s="8"/>
      <c r="G5" s="9"/>
      <c r="H5" s="7"/>
      <c r="I5" s="7"/>
      <c r="J5" s="7"/>
      <c r="L5" s="27"/>
      <c r="M5" s="27"/>
      <c r="N5" s="62" t="s">
        <v>115</v>
      </c>
      <c r="O5" s="27"/>
      <c r="P5" s="27"/>
    </row>
    <row r="6" spans="3:16" ht="23" x14ac:dyDescent="0.25">
      <c r="C6" s="6"/>
      <c r="D6" s="8"/>
      <c r="F6" s="8"/>
      <c r="G6" s="9"/>
      <c r="H6" s="7"/>
      <c r="I6" s="7"/>
      <c r="J6" s="7"/>
      <c r="L6" s="28"/>
      <c r="M6" s="28"/>
      <c r="N6" s="28">
        <v>5</v>
      </c>
      <c r="O6" s="28"/>
      <c r="P6" s="28"/>
    </row>
    <row r="7" spans="3:16" ht="23" x14ac:dyDescent="0.25">
      <c r="C7" s="6"/>
      <c r="D7" s="8"/>
      <c r="E7" s="8"/>
      <c r="F7" s="29" t="s">
        <v>38</v>
      </c>
      <c r="G7" s="29" t="s">
        <v>39</v>
      </c>
      <c r="H7" s="29" t="s">
        <v>40</v>
      </c>
      <c r="I7" s="29" t="s">
        <v>41</v>
      </c>
      <c r="J7" s="29" t="s">
        <v>42</v>
      </c>
    </row>
    <row r="8" spans="3:16" ht="68" x14ac:dyDescent="0.25">
      <c r="C8" s="6"/>
      <c r="D8" s="8"/>
      <c r="E8" s="8"/>
      <c r="F8" s="31" t="s">
        <v>43</v>
      </c>
      <c r="G8" s="31" t="s">
        <v>44</v>
      </c>
      <c r="H8" s="31" t="s">
        <v>45</v>
      </c>
      <c r="I8" s="31" t="s">
        <v>46</v>
      </c>
      <c r="J8" s="31" t="s">
        <v>47</v>
      </c>
    </row>
    <row r="9" spans="3:16" ht="23" x14ac:dyDescent="0.25">
      <c r="C9" s="6"/>
      <c r="D9" s="8"/>
      <c r="E9" s="8"/>
      <c r="F9" s="8"/>
      <c r="G9" s="9"/>
      <c r="H9" s="7"/>
      <c r="I9" s="7"/>
      <c r="J9" s="7"/>
    </row>
    <row r="10" spans="3:16" ht="23" x14ac:dyDescent="0.25">
      <c r="C10" s="6"/>
      <c r="D10" s="8"/>
      <c r="E10" s="8"/>
      <c r="F10" s="8"/>
      <c r="G10" s="9"/>
      <c r="H10" s="7"/>
      <c r="I10" s="7"/>
      <c r="J10" s="7"/>
    </row>
    <row r="11" spans="3:16" ht="18" x14ac:dyDescent="0.2">
      <c r="C11" s="7"/>
      <c r="D11" s="9"/>
      <c r="E11" s="101" t="s">
        <v>2</v>
      </c>
      <c r="F11" s="11" t="s">
        <v>0</v>
      </c>
      <c r="G11" s="11" t="s">
        <v>3</v>
      </c>
      <c r="H11" s="11" t="s">
        <v>4</v>
      </c>
      <c r="I11" s="12" t="s">
        <v>5</v>
      </c>
      <c r="J11" s="10" t="s">
        <v>48</v>
      </c>
    </row>
    <row r="12" spans="3:16" ht="18" x14ac:dyDescent="0.2">
      <c r="C12" s="7"/>
      <c r="D12" s="9"/>
      <c r="E12" s="13">
        <v>1</v>
      </c>
      <c r="F12" s="14" t="s">
        <v>7</v>
      </c>
      <c r="G12" s="14" t="s">
        <v>8</v>
      </c>
      <c r="H12" s="14" t="s">
        <v>9</v>
      </c>
      <c r="I12" s="15">
        <v>30000</v>
      </c>
      <c r="J12" s="99" t="str">
        <f>IF(I12&gt;30000,"G1",IF(AND(I12&gt;25000,I12&lt;=30000),"G2",IF(AND(I12&gt;20000,I12&lt;=25000),"G3",IF(AND(I12&gt;15000,I12&lt;=20000),"G4",IF(I12&lt;=15000,"G5","-")))))</f>
        <v>G2</v>
      </c>
    </row>
    <row r="13" spans="3:16" ht="18" x14ac:dyDescent="0.2">
      <c r="C13" s="7"/>
      <c r="D13" s="9"/>
      <c r="E13" s="17">
        <v>2</v>
      </c>
      <c r="F13" s="18" t="s">
        <v>10</v>
      </c>
      <c r="G13" s="18" t="s">
        <v>11</v>
      </c>
      <c r="H13" s="18" t="s">
        <v>9</v>
      </c>
      <c r="I13" s="19">
        <v>2000</v>
      </c>
      <c r="J13" s="99" t="str">
        <f t="shared" ref="J13:J31" si="0">IF(I13&gt;30000,"G1",IF(AND(I13&gt;25000,I13&lt;=30000),"G2",IF(AND(I13&gt;20000,I13&lt;=25000),"G3",IF(AND(I13&gt;15000,I13&lt;=20000),"G4",IF(I13&lt;=15000,"G5","-")))))</f>
        <v>G5</v>
      </c>
    </row>
    <row r="14" spans="3:16" ht="18" x14ac:dyDescent="0.2">
      <c r="C14" s="7"/>
      <c r="D14" s="9"/>
      <c r="E14" s="17">
        <v>3</v>
      </c>
      <c r="F14" s="18" t="s">
        <v>12</v>
      </c>
      <c r="G14" s="18" t="s">
        <v>11</v>
      </c>
      <c r="H14" s="18" t="s">
        <v>13</v>
      </c>
      <c r="I14" s="19">
        <v>1000</v>
      </c>
      <c r="J14" s="99" t="str">
        <f t="shared" si="0"/>
        <v>G5</v>
      </c>
    </row>
    <row r="15" spans="3:16" ht="18" x14ac:dyDescent="0.2">
      <c r="C15" s="7"/>
      <c r="D15" s="9"/>
      <c r="E15" s="17">
        <v>4</v>
      </c>
      <c r="F15" s="20" t="s">
        <v>14</v>
      </c>
      <c r="G15" s="20" t="s">
        <v>11</v>
      </c>
      <c r="H15" s="20" t="s">
        <v>13</v>
      </c>
      <c r="I15" s="19">
        <v>35000</v>
      </c>
      <c r="J15" s="99" t="str">
        <f t="shared" si="0"/>
        <v>G1</v>
      </c>
    </row>
    <row r="16" spans="3:16" ht="18" x14ac:dyDescent="0.2">
      <c r="C16" s="7"/>
      <c r="D16" s="9"/>
      <c r="E16" s="17">
        <v>5</v>
      </c>
      <c r="F16" s="20" t="s">
        <v>14</v>
      </c>
      <c r="G16" s="20" t="s">
        <v>15</v>
      </c>
      <c r="H16" s="20" t="s">
        <v>16</v>
      </c>
      <c r="I16" s="19">
        <v>2000</v>
      </c>
      <c r="J16" s="99" t="str">
        <f t="shared" si="0"/>
        <v>G5</v>
      </c>
    </row>
    <row r="17" spans="3:10" ht="18" x14ac:dyDescent="0.2">
      <c r="C17" s="7"/>
      <c r="D17" s="9"/>
      <c r="E17" s="17">
        <v>6</v>
      </c>
      <c r="F17" s="20" t="s">
        <v>17</v>
      </c>
      <c r="G17" s="20" t="s">
        <v>15</v>
      </c>
      <c r="H17" s="20" t="s">
        <v>16</v>
      </c>
      <c r="I17" s="19">
        <v>11000</v>
      </c>
      <c r="J17" s="99" t="str">
        <f t="shared" si="0"/>
        <v>G5</v>
      </c>
    </row>
    <row r="18" spans="3:10" ht="18" x14ac:dyDescent="0.2">
      <c r="C18" s="7"/>
      <c r="D18" s="9"/>
      <c r="E18" s="17">
        <v>7</v>
      </c>
      <c r="F18" s="18" t="s">
        <v>18</v>
      </c>
      <c r="G18" s="18" t="s">
        <v>19</v>
      </c>
      <c r="H18" s="18" t="s">
        <v>13</v>
      </c>
      <c r="I18" s="19">
        <v>17000</v>
      </c>
      <c r="J18" s="99" t="str">
        <f t="shared" si="0"/>
        <v>G4</v>
      </c>
    </row>
    <row r="19" spans="3:10" ht="18" x14ac:dyDescent="0.2">
      <c r="C19" s="7"/>
      <c r="D19" s="9"/>
      <c r="E19" s="17">
        <v>8</v>
      </c>
      <c r="F19" s="18" t="s">
        <v>20</v>
      </c>
      <c r="G19" s="18" t="s">
        <v>15</v>
      </c>
      <c r="H19" s="18" t="s">
        <v>16</v>
      </c>
      <c r="I19" s="19">
        <v>6000</v>
      </c>
      <c r="J19" s="99" t="str">
        <f t="shared" si="0"/>
        <v>G5</v>
      </c>
    </row>
    <row r="20" spans="3:10" ht="23" x14ac:dyDescent="0.25">
      <c r="C20" s="6"/>
      <c r="D20" s="8"/>
      <c r="E20" s="17">
        <v>9</v>
      </c>
      <c r="F20" s="20" t="s">
        <v>21</v>
      </c>
      <c r="G20" s="20" t="s">
        <v>19</v>
      </c>
      <c r="H20" s="20" t="s">
        <v>16</v>
      </c>
      <c r="I20" s="19">
        <v>10000</v>
      </c>
      <c r="J20" s="99" t="str">
        <f t="shared" si="0"/>
        <v>G5</v>
      </c>
    </row>
    <row r="21" spans="3:10" ht="23" x14ac:dyDescent="0.25">
      <c r="C21" s="6"/>
      <c r="D21" s="8"/>
      <c r="E21" s="17">
        <v>10</v>
      </c>
      <c r="F21" s="18" t="s">
        <v>22</v>
      </c>
      <c r="G21" s="18" t="s">
        <v>8</v>
      </c>
      <c r="H21" s="18" t="s">
        <v>16</v>
      </c>
      <c r="I21" s="19">
        <v>21000</v>
      </c>
      <c r="J21" s="99" t="str">
        <f t="shared" si="0"/>
        <v>G3</v>
      </c>
    </row>
    <row r="22" spans="3:10" ht="23" x14ac:dyDescent="0.25">
      <c r="C22" s="6"/>
      <c r="D22" s="8"/>
      <c r="E22" s="21">
        <v>11</v>
      </c>
      <c r="F22" s="18" t="s">
        <v>23</v>
      </c>
      <c r="G22" s="18" t="s">
        <v>15</v>
      </c>
      <c r="H22" s="18" t="s">
        <v>13</v>
      </c>
      <c r="I22" s="19">
        <v>22000</v>
      </c>
      <c r="J22" s="99" t="str">
        <f t="shared" si="0"/>
        <v>G3</v>
      </c>
    </row>
    <row r="23" spans="3:10" ht="23" x14ac:dyDescent="0.25">
      <c r="C23" s="6"/>
      <c r="D23" s="8"/>
      <c r="E23" s="21">
        <v>12</v>
      </c>
      <c r="F23" s="20" t="s">
        <v>24</v>
      </c>
      <c r="G23" s="20" t="s">
        <v>19</v>
      </c>
      <c r="H23" s="20" t="s">
        <v>13</v>
      </c>
      <c r="I23" s="19">
        <v>14000</v>
      </c>
      <c r="J23" s="99" t="str">
        <f t="shared" si="0"/>
        <v>G5</v>
      </c>
    </row>
    <row r="24" spans="3:10" ht="23" x14ac:dyDescent="0.25">
      <c r="C24" s="6"/>
      <c r="D24" s="8"/>
      <c r="E24" s="21">
        <v>13</v>
      </c>
      <c r="F24" s="18" t="s">
        <v>25</v>
      </c>
      <c r="G24" s="18" t="s">
        <v>8</v>
      </c>
      <c r="H24" s="18" t="s">
        <v>26</v>
      </c>
      <c r="I24" s="19">
        <v>5000</v>
      </c>
      <c r="J24" s="99" t="str">
        <f t="shared" si="0"/>
        <v>G5</v>
      </c>
    </row>
    <row r="25" spans="3:10" ht="23" x14ac:dyDescent="0.25">
      <c r="C25" s="6"/>
      <c r="D25" s="8"/>
      <c r="E25" s="21">
        <v>14</v>
      </c>
      <c r="F25" s="20" t="s">
        <v>27</v>
      </c>
      <c r="G25" s="20" t="s">
        <v>19</v>
      </c>
      <c r="H25" s="20" t="s">
        <v>9</v>
      </c>
      <c r="I25" s="19">
        <v>12000</v>
      </c>
      <c r="J25" s="99" t="str">
        <f t="shared" si="0"/>
        <v>G5</v>
      </c>
    </row>
    <row r="26" spans="3:10" ht="23" x14ac:dyDescent="0.25">
      <c r="C26" s="6"/>
      <c r="D26" s="8"/>
      <c r="E26" s="21">
        <v>15</v>
      </c>
      <c r="F26" s="20" t="s">
        <v>28</v>
      </c>
      <c r="G26" s="20" t="s">
        <v>8</v>
      </c>
      <c r="H26" s="20" t="s">
        <v>26</v>
      </c>
      <c r="I26" s="19">
        <v>12000</v>
      </c>
      <c r="J26" s="99" t="str">
        <f t="shared" si="0"/>
        <v>G5</v>
      </c>
    </row>
    <row r="27" spans="3:10" ht="23" x14ac:dyDescent="0.25">
      <c r="C27" s="6"/>
      <c r="D27" s="8"/>
      <c r="E27" s="21">
        <v>16</v>
      </c>
      <c r="F27" s="18" t="s">
        <v>29</v>
      </c>
      <c r="G27" s="18" t="s">
        <v>8</v>
      </c>
      <c r="H27" s="18" t="s">
        <v>13</v>
      </c>
      <c r="I27" s="19">
        <v>13000</v>
      </c>
      <c r="J27" s="99" t="str">
        <f t="shared" si="0"/>
        <v>G5</v>
      </c>
    </row>
    <row r="28" spans="3:10" ht="23" x14ac:dyDescent="0.25">
      <c r="C28" s="6"/>
      <c r="D28" s="8"/>
      <c r="E28" s="21">
        <v>17</v>
      </c>
      <c r="F28" s="18" t="s">
        <v>30</v>
      </c>
      <c r="G28" s="18" t="s">
        <v>19</v>
      </c>
      <c r="H28" s="18" t="s">
        <v>9</v>
      </c>
      <c r="I28" s="19">
        <v>1400</v>
      </c>
      <c r="J28" s="99" t="str">
        <f t="shared" si="0"/>
        <v>G5</v>
      </c>
    </row>
    <row r="29" spans="3:10" ht="23" x14ac:dyDescent="0.25">
      <c r="C29" s="6"/>
      <c r="D29" s="8"/>
      <c r="E29" s="21">
        <v>18</v>
      </c>
      <c r="F29" s="20" t="s">
        <v>31</v>
      </c>
      <c r="G29" s="20" t="s">
        <v>11</v>
      </c>
      <c r="H29" s="20" t="s">
        <v>9</v>
      </c>
      <c r="I29" s="19">
        <v>11000</v>
      </c>
      <c r="J29" s="99" t="str">
        <f t="shared" si="0"/>
        <v>G5</v>
      </c>
    </row>
    <row r="30" spans="3:10" ht="23" x14ac:dyDescent="0.25">
      <c r="C30" s="6"/>
      <c r="D30" s="8"/>
      <c r="E30" s="21">
        <v>19</v>
      </c>
      <c r="F30" s="20" t="s">
        <v>32</v>
      </c>
      <c r="G30" s="20" t="s">
        <v>8</v>
      </c>
      <c r="H30" s="20" t="s">
        <v>26</v>
      </c>
      <c r="I30" s="19">
        <v>12000</v>
      </c>
      <c r="J30" s="99" t="str">
        <f t="shared" si="0"/>
        <v>G5</v>
      </c>
    </row>
    <row r="31" spans="3:10" ht="23" x14ac:dyDescent="0.25">
      <c r="C31" s="6"/>
      <c r="D31" s="8"/>
      <c r="E31" s="21">
        <v>20</v>
      </c>
      <c r="F31" s="18" t="s">
        <v>33</v>
      </c>
      <c r="G31" s="18" t="s">
        <v>11</v>
      </c>
      <c r="H31" s="18" t="s">
        <v>26</v>
      </c>
      <c r="I31" s="19">
        <v>7000</v>
      </c>
      <c r="J31" s="99" t="str">
        <f t="shared" si="0"/>
        <v>G5</v>
      </c>
    </row>
    <row r="34" spans="12:12" ht="16" x14ac:dyDescent="0.2">
      <c r="L34" s="30"/>
    </row>
  </sheetData>
  <dataValidations disablePrompts="1" count="2">
    <dataValidation type="textLength" operator="lessThanOrEqual" allowBlank="1" showInputMessage="1" showErrorMessage="1" sqref="H17" xr:uid="{00000000-0002-0000-0200-000000000000}">
      <formula1>5</formula1>
    </dataValidation>
    <dataValidation type="list" allowBlank="1" showInputMessage="1" showErrorMessage="1" sqref="H18" xr:uid="{00000000-0002-0000-0200-000001000000}">
      <formula1>#REF!</formula1>
    </dataValidation>
  </dataValidations>
  <pageMargins left="0.7" right="0.7" top="0.75" bottom="0.75" header="0.3" footer="0.3"/>
  <pageSetup orientation="portrait" r:id="rId1"/>
  <headerFooter>
    <oddFooter>&amp;L9/7/2017&amp;CAXP Internal&amp;R3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N88"/>
  <sheetViews>
    <sheetView showGridLines="0" zoomScale="80" zoomScaleNormal="80" workbookViewId="0"/>
  </sheetViews>
  <sheetFormatPr baseColWidth="10" defaultColWidth="8.83203125" defaultRowHeight="15" x14ac:dyDescent="0.2"/>
  <cols>
    <col min="2" max="2" width="22" customWidth="1"/>
    <col min="3" max="3" width="21.5" customWidth="1"/>
    <col min="4" max="4" width="12.83203125" bestFit="1" customWidth="1"/>
    <col min="5" max="5" width="17.33203125" customWidth="1"/>
    <col min="6" max="6" width="15.83203125" bestFit="1" customWidth="1"/>
    <col min="7" max="7" width="13.5" customWidth="1"/>
    <col min="8" max="8" width="12.5" customWidth="1"/>
    <col min="9" max="9" width="24.83203125" customWidth="1"/>
    <col min="10" max="10" width="22.5" bestFit="1" customWidth="1"/>
    <col min="11" max="12" width="13.83203125" customWidth="1"/>
    <col min="13" max="13" width="21.1640625" customWidth="1"/>
    <col min="14" max="14" width="13.83203125" customWidth="1"/>
  </cols>
  <sheetData>
    <row r="3" spans="2:14" ht="23.25" customHeight="1" x14ac:dyDescent="0.25">
      <c r="B3" s="24" t="s">
        <v>87</v>
      </c>
      <c r="C3" s="8" t="s">
        <v>51</v>
      </c>
      <c r="F3" s="8"/>
      <c r="J3" s="62" t="s">
        <v>116</v>
      </c>
      <c r="K3">
        <v>3</v>
      </c>
    </row>
    <row r="6" spans="2:14" ht="29" x14ac:dyDescent="0.35">
      <c r="C6" s="103" t="s">
        <v>178</v>
      </c>
    </row>
    <row r="8" spans="2:14" ht="23.25" customHeight="1" x14ac:dyDescent="0.25">
      <c r="B8" s="121" t="s">
        <v>52</v>
      </c>
      <c r="C8" s="121"/>
      <c r="D8" s="121"/>
      <c r="E8" s="121"/>
      <c r="F8" s="121"/>
      <c r="G8" s="121"/>
      <c r="I8" s="121" t="s">
        <v>82</v>
      </c>
      <c r="J8" s="121"/>
      <c r="K8" s="121"/>
      <c r="L8" s="121"/>
      <c r="M8" s="121"/>
      <c r="N8" s="121"/>
    </row>
    <row r="10" spans="2:14" ht="19" x14ac:dyDescent="0.2">
      <c r="B10" s="32" t="s">
        <v>59</v>
      </c>
      <c r="C10" s="32" t="s">
        <v>75</v>
      </c>
      <c r="D10" s="32" t="s">
        <v>76</v>
      </c>
      <c r="E10" s="32" t="s">
        <v>77</v>
      </c>
      <c r="F10" s="32" t="s">
        <v>80</v>
      </c>
      <c r="I10" s="32" t="s">
        <v>59</v>
      </c>
      <c r="J10" s="32" t="s">
        <v>75</v>
      </c>
      <c r="K10" s="32" t="s">
        <v>76</v>
      </c>
      <c r="L10" s="32" t="s">
        <v>77</v>
      </c>
      <c r="M10" s="32" t="s">
        <v>80</v>
      </c>
    </row>
    <row r="11" spans="2:14" ht="18" x14ac:dyDescent="0.2">
      <c r="B11" s="70">
        <v>48906370343</v>
      </c>
      <c r="C11" s="43" t="s">
        <v>70</v>
      </c>
      <c r="D11" s="43">
        <v>2011</v>
      </c>
      <c r="E11" s="35">
        <v>1</v>
      </c>
      <c r="F11" s="42">
        <v>6315</v>
      </c>
      <c r="I11" s="33">
        <v>1614005737</v>
      </c>
      <c r="J11" s="100" t="str">
        <f t="shared" ref="J11:J42" si="0">INDEX($B$11:$F$88,MATCH($I11,$B$11:$B$88,0),2)</f>
        <v>SWEDEN</v>
      </c>
      <c r="K11" s="100">
        <f>INDEX($B$11:$F$88,MATCH($I11,$B$11:$B$88,0),3)</f>
        <v>2010</v>
      </c>
      <c r="L11" s="100">
        <f>INDEX($B$11:$F$88,MATCH($I11,$B$11:$B$88,0),4)</f>
        <v>4</v>
      </c>
      <c r="M11" s="100">
        <f>INDEX($B$11:$F$88,MATCH($I11,$B$11:$B$88,0),5)</f>
        <v>2750</v>
      </c>
    </row>
    <row r="12" spans="2:14" ht="18" x14ac:dyDescent="0.2">
      <c r="B12" s="70">
        <v>48906349573</v>
      </c>
      <c r="C12" s="38" t="s">
        <v>70</v>
      </c>
      <c r="D12" s="38">
        <v>2010</v>
      </c>
      <c r="E12" s="37">
        <v>2</v>
      </c>
      <c r="F12" s="42">
        <v>7447.49</v>
      </c>
      <c r="I12" s="33">
        <v>1614105110</v>
      </c>
      <c r="J12" s="100" t="str">
        <f t="shared" si="0"/>
        <v>SWEDEN</v>
      </c>
      <c r="K12" s="100">
        <f t="shared" ref="K12:K75" si="1">INDEX($B$11:$F$88,MATCH($I12,$B$11:$B$88,0),3)</f>
        <v>2010</v>
      </c>
      <c r="L12" s="100">
        <f t="shared" ref="L12:L75" si="2">INDEX($B$11:$F$88,MATCH($I12,$B$11:$B$88,0),4)</f>
        <v>1</v>
      </c>
      <c r="M12" s="100">
        <f t="shared" ref="M12:M75" si="3">INDEX($B$11:$F$88,MATCH($I12,$B$11:$B$88,0),5)</f>
        <v>7595</v>
      </c>
    </row>
    <row r="13" spans="2:14" ht="18" x14ac:dyDescent="0.2">
      <c r="B13" s="70">
        <v>1660100002</v>
      </c>
      <c r="C13" s="36" t="s">
        <v>62</v>
      </c>
      <c r="D13" s="36">
        <v>2010</v>
      </c>
      <c r="E13" s="37">
        <v>1</v>
      </c>
      <c r="F13" s="42">
        <v>74305</v>
      </c>
      <c r="I13" s="33">
        <v>1327073134</v>
      </c>
      <c r="J13" s="100" t="str">
        <f t="shared" si="0"/>
        <v>UK</v>
      </c>
      <c r="K13" s="100">
        <f t="shared" si="1"/>
        <v>2011</v>
      </c>
      <c r="L13" s="100">
        <f t="shared" si="2"/>
        <v>3</v>
      </c>
      <c r="M13" s="100">
        <f t="shared" si="3"/>
        <v>6269</v>
      </c>
    </row>
    <row r="14" spans="2:14" ht="18" x14ac:dyDescent="0.2">
      <c r="B14" s="44" t="s">
        <v>53</v>
      </c>
      <c r="C14" s="38" t="s">
        <v>81</v>
      </c>
      <c r="D14" s="38">
        <v>2010</v>
      </c>
      <c r="E14" s="37">
        <v>1</v>
      </c>
      <c r="F14" s="42">
        <v>57997</v>
      </c>
      <c r="I14" s="33">
        <v>1307100158</v>
      </c>
      <c r="J14" s="100" t="str">
        <f t="shared" si="0"/>
        <v>UK</v>
      </c>
      <c r="K14" s="100">
        <f t="shared" si="1"/>
        <v>2010</v>
      </c>
      <c r="L14" s="100">
        <f t="shared" si="2"/>
        <v>1</v>
      </c>
      <c r="M14" s="100">
        <f t="shared" si="3"/>
        <v>16843.400000000001</v>
      </c>
    </row>
    <row r="15" spans="2:14" ht="18" x14ac:dyDescent="0.2">
      <c r="B15" s="44" t="s">
        <v>54</v>
      </c>
      <c r="C15" s="38" t="s">
        <v>81</v>
      </c>
      <c r="D15" s="43">
        <v>2011</v>
      </c>
      <c r="E15" s="37">
        <v>1</v>
      </c>
      <c r="F15" s="42">
        <v>3200</v>
      </c>
      <c r="I15" s="33">
        <v>1550079668</v>
      </c>
      <c r="J15" s="100" t="str">
        <f t="shared" si="0"/>
        <v>GERMANY</v>
      </c>
      <c r="K15" s="100">
        <f t="shared" si="1"/>
        <v>2010</v>
      </c>
      <c r="L15" s="100">
        <f t="shared" si="2"/>
        <v>2</v>
      </c>
      <c r="M15" s="100">
        <f t="shared" si="3"/>
        <v>21145.98</v>
      </c>
    </row>
    <row r="16" spans="2:14" ht="18" x14ac:dyDescent="0.2">
      <c r="B16" s="44" t="s">
        <v>55</v>
      </c>
      <c r="C16" s="38" t="s">
        <v>81</v>
      </c>
      <c r="D16" s="43">
        <v>2011</v>
      </c>
      <c r="E16" s="37">
        <v>2</v>
      </c>
      <c r="F16" s="42">
        <v>43343</v>
      </c>
      <c r="I16" s="33">
        <v>1550082381</v>
      </c>
      <c r="J16" s="100" t="str">
        <f t="shared" si="0"/>
        <v>GERMANY</v>
      </c>
      <c r="K16" s="100">
        <f t="shared" si="1"/>
        <v>2010</v>
      </c>
      <c r="L16" s="100">
        <f t="shared" si="2"/>
        <v>3</v>
      </c>
      <c r="M16" s="100">
        <f t="shared" si="3"/>
        <v>137</v>
      </c>
    </row>
    <row r="17" spans="2:13" ht="18" x14ac:dyDescent="0.2">
      <c r="B17" s="44" t="s">
        <v>56</v>
      </c>
      <c r="C17" s="38" t="s">
        <v>81</v>
      </c>
      <c r="D17" s="43">
        <v>2011</v>
      </c>
      <c r="E17" s="37">
        <v>3</v>
      </c>
      <c r="F17" s="42">
        <v>80898</v>
      </c>
      <c r="I17" s="33">
        <v>1780534854</v>
      </c>
      <c r="J17" s="100" t="str">
        <f t="shared" si="0"/>
        <v>NETHERLANDS</v>
      </c>
      <c r="K17" s="100">
        <f t="shared" si="1"/>
        <v>2010</v>
      </c>
      <c r="L17" s="100">
        <f t="shared" si="2"/>
        <v>1</v>
      </c>
      <c r="M17" s="100">
        <f t="shared" si="3"/>
        <v>11574.47</v>
      </c>
    </row>
    <row r="18" spans="2:13" ht="18" x14ac:dyDescent="0.2">
      <c r="B18" s="44" t="s">
        <v>57</v>
      </c>
      <c r="C18" s="38" t="s">
        <v>81</v>
      </c>
      <c r="D18" s="43">
        <v>2011</v>
      </c>
      <c r="E18" s="37">
        <v>4</v>
      </c>
      <c r="F18" s="42">
        <v>15069</v>
      </c>
      <c r="I18" s="33">
        <v>1660100002</v>
      </c>
      <c r="J18" s="100" t="str">
        <f t="shared" si="0"/>
        <v>GERMANY</v>
      </c>
      <c r="K18" s="100">
        <f t="shared" si="1"/>
        <v>2010</v>
      </c>
      <c r="L18" s="100">
        <f t="shared" si="2"/>
        <v>1</v>
      </c>
      <c r="M18" s="100">
        <f t="shared" si="3"/>
        <v>74305</v>
      </c>
    </row>
    <row r="19" spans="2:13" ht="18" x14ac:dyDescent="0.2">
      <c r="B19" s="44" t="s">
        <v>58</v>
      </c>
      <c r="C19" s="38" t="s">
        <v>81</v>
      </c>
      <c r="D19" s="38">
        <v>2010</v>
      </c>
      <c r="E19" s="37">
        <v>2</v>
      </c>
      <c r="F19" s="42">
        <v>1191</v>
      </c>
      <c r="I19" s="33">
        <v>1614122656</v>
      </c>
      <c r="J19" s="100" t="str">
        <f t="shared" si="0"/>
        <v>SWEDEN</v>
      </c>
      <c r="K19" s="100">
        <f t="shared" si="1"/>
        <v>2010</v>
      </c>
      <c r="L19" s="100">
        <f t="shared" si="2"/>
        <v>1</v>
      </c>
      <c r="M19" s="100">
        <f t="shared" si="3"/>
        <v>44765</v>
      </c>
    </row>
    <row r="20" spans="2:13" ht="18" x14ac:dyDescent="0.2">
      <c r="B20" s="70">
        <v>1550079668</v>
      </c>
      <c r="C20" s="36" t="s">
        <v>62</v>
      </c>
      <c r="D20" s="36">
        <v>2010</v>
      </c>
      <c r="E20" s="37">
        <v>2</v>
      </c>
      <c r="F20" s="42">
        <v>21145.98</v>
      </c>
      <c r="I20" s="33">
        <v>1614005921</v>
      </c>
      <c r="J20" s="100" t="str">
        <f t="shared" si="0"/>
        <v>SWEDEN</v>
      </c>
      <c r="K20" s="100">
        <f t="shared" si="1"/>
        <v>2011</v>
      </c>
      <c r="L20" s="100">
        <f t="shared" si="2"/>
        <v>5</v>
      </c>
      <c r="M20" s="100">
        <f t="shared" si="3"/>
        <v>9940</v>
      </c>
    </row>
    <row r="21" spans="2:13" ht="18" x14ac:dyDescent="0.2">
      <c r="B21" s="70">
        <v>1550082381</v>
      </c>
      <c r="C21" s="36" t="s">
        <v>62</v>
      </c>
      <c r="D21" s="36">
        <v>2010</v>
      </c>
      <c r="E21" s="37">
        <v>3</v>
      </c>
      <c r="F21" s="42">
        <v>137</v>
      </c>
      <c r="I21" s="33">
        <v>1614005922</v>
      </c>
      <c r="J21" s="100" t="str">
        <f t="shared" si="0"/>
        <v>SWEDEN</v>
      </c>
      <c r="K21" s="100">
        <f t="shared" si="1"/>
        <v>2011</v>
      </c>
      <c r="L21" s="100">
        <f t="shared" si="2"/>
        <v>5</v>
      </c>
      <c r="M21" s="100">
        <f t="shared" si="3"/>
        <v>43215</v>
      </c>
    </row>
    <row r="22" spans="2:13" ht="18" x14ac:dyDescent="0.2">
      <c r="B22" s="70">
        <v>1550074871</v>
      </c>
      <c r="C22" s="36" t="s">
        <v>61</v>
      </c>
      <c r="D22" s="36">
        <v>2010</v>
      </c>
      <c r="E22" s="37">
        <v>4</v>
      </c>
      <c r="F22" s="42">
        <v>5921.25</v>
      </c>
      <c r="I22" s="33">
        <v>1332771087</v>
      </c>
      <c r="J22" s="100" t="str">
        <f t="shared" si="0"/>
        <v>UK</v>
      </c>
      <c r="K22" s="100">
        <f t="shared" si="1"/>
        <v>2011</v>
      </c>
      <c r="L22" s="100">
        <f t="shared" si="2"/>
        <v>1</v>
      </c>
      <c r="M22" s="100">
        <f t="shared" si="3"/>
        <v>35130.639999999999</v>
      </c>
    </row>
    <row r="23" spans="2:13" ht="18" x14ac:dyDescent="0.2">
      <c r="B23" s="70">
        <v>1550075136</v>
      </c>
      <c r="C23" s="34" t="s">
        <v>62</v>
      </c>
      <c r="D23" s="43">
        <v>2011</v>
      </c>
      <c r="E23" s="35">
        <v>1</v>
      </c>
      <c r="F23" s="42">
        <v>100</v>
      </c>
      <c r="I23" s="33">
        <v>1327071086</v>
      </c>
      <c r="J23" s="100" t="str">
        <f t="shared" si="0"/>
        <v>UK</v>
      </c>
      <c r="K23" s="100">
        <f t="shared" si="1"/>
        <v>2011</v>
      </c>
      <c r="L23" s="100">
        <f t="shared" si="2"/>
        <v>1</v>
      </c>
      <c r="M23" s="100">
        <f t="shared" si="3"/>
        <v>66</v>
      </c>
    </row>
    <row r="24" spans="2:13" ht="18" x14ac:dyDescent="0.2">
      <c r="B24" s="70">
        <v>1550075141</v>
      </c>
      <c r="C24" s="36" t="s">
        <v>62</v>
      </c>
      <c r="D24" s="43">
        <v>2011</v>
      </c>
      <c r="E24" s="37">
        <v>2</v>
      </c>
      <c r="F24" s="42">
        <v>0</v>
      </c>
      <c r="I24" s="33">
        <v>1721596901</v>
      </c>
      <c r="J24" s="100" t="str">
        <f t="shared" si="0"/>
        <v>SPAIN</v>
      </c>
      <c r="K24" s="100">
        <f t="shared" si="1"/>
        <v>2010</v>
      </c>
      <c r="L24" s="100">
        <f t="shared" si="2"/>
        <v>1</v>
      </c>
      <c r="M24" s="100">
        <f t="shared" si="3"/>
        <v>5997.77</v>
      </c>
    </row>
    <row r="25" spans="2:13" ht="18" x14ac:dyDescent="0.2">
      <c r="B25" s="70">
        <v>1550071047</v>
      </c>
      <c r="C25" s="38" t="s">
        <v>62</v>
      </c>
      <c r="D25" s="43">
        <v>2011</v>
      </c>
      <c r="E25" s="37">
        <v>3</v>
      </c>
      <c r="F25" s="42">
        <v>472</v>
      </c>
      <c r="I25" s="33">
        <v>1550074871</v>
      </c>
      <c r="J25" s="100" t="str">
        <f t="shared" si="0"/>
        <v>UK</v>
      </c>
      <c r="K25" s="100">
        <f t="shared" si="1"/>
        <v>2010</v>
      </c>
      <c r="L25" s="100">
        <f t="shared" si="2"/>
        <v>4</v>
      </c>
      <c r="M25" s="100">
        <f t="shared" si="3"/>
        <v>5921.25</v>
      </c>
    </row>
    <row r="26" spans="2:13" ht="18" x14ac:dyDescent="0.2">
      <c r="B26" s="70">
        <v>1550071041</v>
      </c>
      <c r="C26" s="38" t="s">
        <v>61</v>
      </c>
      <c r="D26" s="43">
        <v>2011</v>
      </c>
      <c r="E26" s="37">
        <v>4</v>
      </c>
      <c r="F26" s="42">
        <v>1895.3500000000001</v>
      </c>
      <c r="I26" s="33">
        <v>1783173067</v>
      </c>
      <c r="J26" s="100" t="str">
        <f t="shared" si="0"/>
        <v>NETHERLANDS</v>
      </c>
      <c r="K26" s="100">
        <f t="shared" si="1"/>
        <v>2011</v>
      </c>
      <c r="L26" s="100">
        <f t="shared" si="2"/>
        <v>1</v>
      </c>
      <c r="M26" s="100">
        <f t="shared" si="3"/>
        <v>1922.97</v>
      </c>
    </row>
    <row r="27" spans="2:13" ht="18" x14ac:dyDescent="0.2">
      <c r="B27" s="70">
        <v>1550071173</v>
      </c>
      <c r="C27" s="38" t="s">
        <v>62</v>
      </c>
      <c r="D27" s="43">
        <v>2011</v>
      </c>
      <c r="E27" s="37">
        <v>5</v>
      </c>
      <c r="F27" s="42">
        <v>134</v>
      </c>
      <c r="I27" s="33">
        <v>1614003679</v>
      </c>
      <c r="J27" s="100" t="str">
        <f t="shared" si="0"/>
        <v>SWEDEN</v>
      </c>
      <c r="K27" s="100">
        <f t="shared" si="1"/>
        <v>2011</v>
      </c>
      <c r="L27" s="100">
        <f t="shared" si="2"/>
        <v>1</v>
      </c>
      <c r="M27" s="100">
        <f t="shared" si="3"/>
        <v>85515</v>
      </c>
    </row>
    <row r="28" spans="2:13" ht="18" x14ac:dyDescent="0.2">
      <c r="B28" s="70">
        <v>1550071245</v>
      </c>
      <c r="C28" s="38" t="s">
        <v>62</v>
      </c>
      <c r="D28" s="43">
        <v>2011</v>
      </c>
      <c r="E28" s="37">
        <v>6</v>
      </c>
      <c r="F28" s="42">
        <v>0</v>
      </c>
      <c r="I28" s="33">
        <v>1761290840</v>
      </c>
      <c r="J28" s="100" t="str">
        <f t="shared" si="0"/>
        <v>SWITZERLAND</v>
      </c>
      <c r="K28" s="100">
        <f t="shared" si="1"/>
        <v>2010</v>
      </c>
      <c r="L28" s="100">
        <f t="shared" si="2"/>
        <v>10</v>
      </c>
      <c r="M28" s="100">
        <f t="shared" si="3"/>
        <v>337</v>
      </c>
    </row>
    <row r="29" spans="2:13" ht="18" x14ac:dyDescent="0.2">
      <c r="B29" s="70">
        <v>1550072975</v>
      </c>
      <c r="C29" s="38" t="s">
        <v>61</v>
      </c>
      <c r="D29" s="43">
        <v>2011</v>
      </c>
      <c r="E29" s="37">
        <v>7</v>
      </c>
      <c r="F29" s="42">
        <v>200</v>
      </c>
      <c r="I29" s="33">
        <v>1761291502</v>
      </c>
      <c r="J29" s="100" t="str">
        <f t="shared" si="0"/>
        <v>SWITZERLAND</v>
      </c>
      <c r="K29" s="100">
        <f t="shared" si="1"/>
        <v>2011</v>
      </c>
      <c r="L29" s="100">
        <f t="shared" si="2"/>
        <v>1</v>
      </c>
      <c r="M29" s="100">
        <f t="shared" si="3"/>
        <v>2012</v>
      </c>
    </row>
    <row r="30" spans="2:13" ht="18" x14ac:dyDescent="0.2">
      <c r="B30" s="70">
        <v>1550070862</v>
      </c>
      <c r="C30" s="38" t="s">
        <v>61</v>
      </c>
      <c r="D30" s="43">
        <v>2011</v>
      </c>
      <c r="E30" s="37">
        <v>8</v>
      </c>
      <c r="F30" s="42">
        <v>0</v>
      </c>
      <c r="I30" s="33">
        <v>48867012335</v>
      </c>
      <c r="J30" s="100" t="str">
        <f t="shared" si="0"/>
        <v>GERMANY</v>
      </c>
      <c r="K30" s="100">
        <f t="shared" si="1"/>
        <v>2010</v>
      </c>
      <c r="L30" s="100">
        <f t="shared" si="2"/>
        <v>2</v>
      </c>
      <c r="M30" s="100">
        <f t="shared" si="3"/>
        <v>86031</v>
      </c>
    </row>
    <row r="31" spans="2:13" ht="18" x14ac:dyDescent="0.2">
      <c r="B31" s="70">
        <v>1550071249</v>
      </c>
      <c r="C31" s="38" t="s">
        <v>61</v>
      </c>
      <c r="D31" s="43">
        <v>2011</v>
      </c>
      <c r="E31" s="37">
        <v>9</v>
      </c>
      <c r="F31" s="42">
        <v>2114</v>
      </c>
      <c r="I31" s="33">
        <v>1654006486</v>
      </c>
      <c r="J31" s="100" t="str">
        <f t="shared" si="0"/>
        <v>SWEDEN</v>
      </c>
      <c r="K31" s="100">
        <f t="shared" si="1"/>
        <v>2010</v>
      </c>
      <c r="L31" s="100">
        <f t="shared" si="2"/>
        <v>1</v>
      </c>
      <c r="M31" s="100">
        <f t="shared" si="3"/>
        <v>10700</v>
      </c>
    </row>
    <row r="32" spans="2:13" ht="18" x14ac:dyDescent="0.2">
      <c r="B32" s="70">
        <v>1550071033</v>
      </c>
      <c r="C32" s="38" t="s">
        <v>61</v>
      </c>
      <c r="D32" s="43">
        <v>2011</v>
      </c>
      <c r="E32" s="37">
        <v>10</v>
      </c>
      <c r="F32" s="42">
        <v>3646</v>
      </c>
      <c r="I32" s="33">
        <v>1614004035</v>
      </c>
      <c r="J32" s="100" t="str">
        <f t="shared" si="0"/>
        <v>SWEDEN</v>
      </c>
      <c r="K32" s="100">
        <f t="shared" si="1"/>
        <v>2011</v>
      </c>
      <c r="L32" s="100">
        <f t="shared" si="2"/>
        <v>1</v>
      </c>
      <c r="M32" s="100">
        <f t="shared" si="3"/>
        <v>45482</v>
      </c>
    </row>
    <row r="33" spans="2:13" ht="18" x14ac:dyDescent="0.2">
      <c r="B33" s="70">
        <v>1550071035</v>
      </c>
      <c r="C33" s="38" t="s">
        <v>61</v>
      </c>
      <c r="D33" s="43">
        <v>2011</v>
      </c>
      <c r="E33" s="37">
        <v>11</v>
      </c>
      <c r="F33" s="42">
        <v>100</v>
      </c>
      <c r="I33" s="33">
        <v>1614004033</v>
      </c>
      <c r="J33" s="100" t="str">
        <f t="shared" si="0"/>
        <v>SWEDEN</v>
      </c>
      <c r="K33" s="100">
        <f t="shared" si="1"/>
        <v>2011</v>
      </c>
      <c r="L33" s="100">
        <f t="shared" si="2"/>
        <v>1</v>
      </c>
      <c r="M33" s="100">
        <f t="shared" si="3"/>
        <v>3465</v>
      </c>
    </row>
    <row r="34" spans="2:13" ht="18" x14ac:dyDescent="0.2">
      <c r="B34" s="70">
        <v>1550070895</v>
      </c>
      <c r="C34" s="38" t="s">
        <v>61</v>
      </c>
      <c r="D34" s="43">
        <v>2011</v>
      </c>
      <c r="E34" s="37">
        <v>12</v>
      </c>
      <c r="F34" s="42">
        <v>0</v>
      </c>
      <c r="I34" s="33">
        <v>1614004408</v>
      </c>
      <c r="J34" s="100" t="str">
        <f t="shared" si="0"/>
        <v>SWEDEN</v>
      </c>
      <c r="K34" s="100">
        <f t="shared" si="1"/>
        <v>2011</v>
      </c>
      <c r="L34" s="100">
        <f t="shared" si="2"/>
        <v>3</v>
      </c>
      <c r="M34" s="100">
        <f t="shared" si="3"/>
        <v>1700</v>
      </c>
    </row>
    <row r="35" spans="2:13" ht="18" x14ac:dyDescent="0.2">
      <c r="B35" s="70">
        <v>1550070896</v>
      </c>
      <c r="C35" s="38" t="s">
        <v>61</v>
      </c>
      <c r="D35" s="43">
        <v>2011</v>
      </c>
      <c r="E35" s="35">
        <v>1</v>
      </c>
      <c r="F35" s="42">
        <v>260</v>
      </c>
      <c r="I35" s="33">
        <v>1614004059</v>
      </c>
      <c r="J35" s="100" t="str">
        <f t="shared" si="0"/>
        <v>SWEDEN</v>
      </c>
      <c r="K35" s="100">
        <f t="shared" si="1"/>
        <v>2011</v>
      </c>
      <c r="L35" s="100">
        <f t="shared" si="2"/>
        <v>1</v>
      </c>
      <c r="M35" s="100">
        <f t="shared" si="3"/>
        <v>16875</v>
      </c>
    </row>
    <row r="36" spans="2:13" ht="18" x14ac:dyDescent="0.2">
      <c r="B36" s="70">
        <v>1550070897</v>
      </c>
      <c r="C36" s="38" t="s">
        <v>61</v>
      </c>
      <c r="D36" s="43">
        <v>2011</v>
      </c>
      <c r="E36" s="37">
        <v>2</v>
      </c>
      <c r="F36" s="42">
        <v>105.34</v>
      </c>
      <c r="I36" s="33">
        <v>1614004034</v>
      </c>
      <c r="J36" s="100" t="str">
        <f t="shared" si="0"/>
        <v>SWEDEN</v>
      </c>
      <c r="K36" s="100">
        <f t="shared" si="1"/>
        <v>2011</v>
      </c>
      <c r="L36" s="100">
        <f t="shared" si="2"/>
        <v>5</v>
      </c>
      <c r="M36" s="100">
        <f t="shared" si="3"/>
        <v>3483</v>
      </c>
    </row>
    <row r="37" spans="2:13" ht="18" x14ac:dyDescent="0.2">
      <c r="B37" s="70">
        <v>1550070854</v>
      </c>
      <c r="C37" s="38" t="s">
        <v>61</v>
      </c>
      <c r="D37" s="43">
        <v>2011</v>
      </c>
      <c r="E37" s="37">
        <v>3</v>
      </c>
      <c r="F37" s="42">
        <v>0</v>
      </c>
      <c r="I37" s="33">
        <v>1614004056</v>
      </c>
      <c r="J37" s="100" t="str">
        <f t="shared" si="0"/>
        <v>SWEDEN</v>
      </c>
      <c r="K37" s="100">
        <f t="shared" si="1"/>
        <v>2010</v>
      </c>
      <c r="L37" s="100">
        <f t="shared" si="2"/>
        <v>1</v>
      </c>
      <c r="M37" s="100">
        <f t="shared" si="3"/>
        <v>7396</v>
      </c>
    </row>
    <row r="38" spans="2:13" ht="18" x14ac:dyDescent="0.2">
      <c r="B38" s="70">
        <v>1550072992</v>
      </c>
      <c r="C38" s="38" t="s">
        <v>62</v>
      </c>
      <c r="D38" s="43">
        <v>2011</v>
      </c>
      <c r="E38" s="37">
        <v>4</v>
      </c>
      <c r="F38" s="42">
        <v>50</v>
      </c>
      <c r="I38" s="33">
        <v>1780507234</v>
      </c>
      <c r="J38" s="100" t="str">
        <f t="shared" si="0"/>
        <v>NETHERLANDS</v>
      </c>
      <c r="K38" s="100">
        <f t="shared" si="1"/>
        <v>2011</v>
      </c>
      <c r="L38" s="100">
        <f t="shared" si="2"/>
        <v>1</v>
      </c>
      <c r="M38" s="100">
        <f t="shared" si="3"/>
        <v>970.5</v>
      </c>
    </row>
    <row r="39" spans="2:13" ht="18" x14ac:dyDescent="0.2">
      <c r="B39" s="70">
        <v>1550071116</v>
      </c>
      <c r="C39" s="38" t="s">
        <v>62</v>
      </c>
      <c r="D39" s="43">
        <v>2011</v>
      </c>
      <c r="E39" s="37">
        <v>5</v>
      </c>
      <c r="F39" s="42">
        <v>1509.8</v>
      </c>
      <c r="I39" s="33">
        <v>48943403913</v>
      </c>
      <c r="J39" s="100" t="str">
        <f t="shared" si="0"/>
        <v>SWEDEN</v>
      </c>
      <c r="K39" s="100">
        <f t="shared" si="1"/>
        <v>2010</v>
      </c>
      <c r="L39" s="100">
        <f t="shared" si="2"/>
        <v>1</v>
      </c>
      <c r="M39" s="100">
        <f t="shared" si="3"/>
        <v>66480.44</v>
      </c>
    </row>
    <row r="40" spans="2:13" ht="18" x14ac:dyDescent="0.2">
      <c r="B40" s="70">
        <v>1550075131</v>
      </c>
      <c r="C40" s="38" t="s">
        <v>62</v>
      </c>
      <c r="D40" s="43">
        <v>2011</v>
      </c>
      <c r="E40" s="37">
        <v>6</v>
      </c>
      <c r="F40" s="42">
        <v>105.04</v>
      </c>
      <c r="I40" s="33">
        <v>48943602747</v>
      </c>
      <c r="J40" s="100" t="str">
        <f t="shared" si="0"/>
        <v>SWEDEN</v>
      </c>
      <c r="K40" s="100">
        <f t="shared" si="1"/>
        <v>2010</v>
      </c>
      <c r="L40" s="100">
        <f t="shared" si="2"/>
        <v>1</v>
      </c>
      <c r="M40" s="100">
        <f t="shared" si="3"/>
        <v>95771.8</v>
      </c>
    </row>
    <row r="41" spans="2:13" ht="18" x14ac:dyDescent="0.2">
      <c r="B41" s="70">
        <v>1550071107</v>
      </c>
      <c r="C41" s="36" t="s">
        <v>61</v>
      </c>
      <c r="D41" s="38">
        <v>2010</v>
      </c>
      <c r="E41" s="37">
        <v>5</v>
      </c>
      <c r="F41" s="42">
        <v>214.28</v>
      </c>
      <c r="I41" s="33">
        <v>1614004752</v>
      </c>
      <c r="J41" s="100" t="str">
        <f t="shared" si="0"/>
        <v>SWEDEN</v>
      </c>
      <c r="K41" s="100">
        <f t="shared" si="1"/>
        <v>2010</v>
      </c>
      <c r="L41" s="100">
        <f t="shared" si="2"/>
        <v>1</v>
      </c>
      <c r="M41" s="100">
        <f t="shared" si="3"/>
        <v>78800</v>
      </c>
    </row>
    <row r="42" spans="2:13" ht="18" x14ac:dyDescent="0.2">
      <c r="B42" s="70">
        <v>1550075144</v>
      </c>
      <c r="C42" s="36" t="s">
        <v>61</v>
      </c>
      <c r="D42" s="36">
        <v>2010</v>
      </c>
      <c r="E42" s="37">
        <v>6</v>
      </c>
      <c r="F42" s="42">
        <v>42.02</v>
      </c>
      <c r="I42" s="33">
        <v>1550075136</v>
      </c>
      <c r="J42" s="100" t="str">
        <f t="shared" si="0"/>
        <v>GERMANY</v>
      </c>
      <c r="K42" s="100">
        <f t="shared" si="1"/>
        <v>2011</v>
      </c>
      <c r="L42" s="100">
        <f t="shared" si="2"/>
        <v>1</v>
      </c>
      <c r="M42" s="100">
        <f t="shared" si="3"/>
        <v>100</v>
      </c>
    </row>
    <row r="43" spans="2:13" ht="18" x14ac:dyDescent="0.2">
      <c r="B43" s="70">
        <v>1550071049</v>
      </c>
      <c r="C43" s="36" t="s">
        <v>61</v>
      </c>
      <c r="D43" s="36">
        <v>2010</v>
      </c>
      <c r="E43" s="37">
        <v>7</v>
      </c>
      <c r="F43" s="42">
        <v>0</v>
      </c>
      <c r="I43" s="33">
        <v>1550075141</v>
      </c>
      <c r="J43" s="100" t="str">
        <f t="shared" ref="J43:J76" si="4">INDEX($B$11:$F$88,MATCH($I43,$B$11:$B$88,0),2)</f>
        <v>GERMANY</v>
      </c>
      <c r="K43" s="100">
        <f t="shared" si="1"/>
        <v>2011</v>
      </c>
      <c r="L43" s="100">
        <f t="shared" si="2"/>
        <v>2</v>
      </c>
      <c r="M43" s="100">
        <f t="shared" si="3"/>
        <v>0</v>
      </c>
    </row>
    <row r="44" spans="2:13" ht="18" x14ac:dyDescent="0.2">
      <c r="B44" s="70">
        <v>1550075137</v>
      </c>
      <c r="C44" s="36" t="s">
        <v>61</v>
      </c>
      <c r="D44" s="36">
        <v>2010</v>
      </c>
      <c r="E44" s="37">
        <v>8</v>
      </c>
      <c r="F44" s="42">
        <v>0</v>
      </c>
      <c r="I44" s="33">
        <v>1550071047</v>
      </c>
      <c r="J44" s="100" t="str">
        <f t="shared" si="4"/>
        <v>GERMANY</v>
      </c>
      <c r="K44" s="100">
        <f t="shared" si="1"/>
        <v>2011</v>
      </c>
      <c r="L44" s="100">
        <f t="shared" si="2"/>
        <v>3</v>
      </c>
      <c r="M44" s="100">
        <f t="shared" si="3"/>
        <v>472</v>
      </c>
    </row>
    <row r="45" spans="2:13" ht="18" x14ac:dyDescent="0.2">
      <c r="B45" s="70">
        <v>1550071213</v>
      </c>
      <c r="C45" s="36" t="s">
        <v>61</v>
      </c>
      <c r="D45" s="36">
        <v>2010</v>
      </c>
      <c r="E45" s="37">
        <v>9</v>
      </c>
      <c r="F45" s="42">
        <v>602</v>
      </c>
      <c r="I45" s="33">
        <v>1550071041</v>
      </c>
      <c r="J45" s="100" t="str">
        <f t="shared" si="4"/>
        <v>UK</v>
      </c>
      <c r="K45" s="100">
        <f t="shared" si="1"/>
        <v>2011</v>
      </c>
      <c r="L45" s="100">
        <f t="shared" si="2"/>
        <v>4</v>
      </c>
      <c r="M45" s="100">
        <f t="shared" si="3"/>
        <v>1895.3500000000001</v>
      </c>
    </row>
    <row r="46" spans="2:13" ht="18" x14ac:dyDescent="0.2">
      <c r="B46" s="70">
        <v>1550071004</v>
      </c>
      <c r="C46" s="36" t="s">
        <v>61</v>
      </c>
      <c r="D46" s="36">
        <v>2010</v>
      </c>
      <c r="E46" s="37">
        <v>10</v>
      </c>
      <c r="F46" s="42">
        <v>42.02</v>
      </c>
      <c r="I46" s="33">
        <v>1550071173</v>
      </c>
      <c r="J46" s="100" t="str">
        <f t="shared" si="4"/>
        <v>GERMANY</v>
      </c>
      <c r="K46" s="100">
        <f t="shared" si="1"/>
        <v>2011</v>
      </c>
      <c r="L46" s="100">
        <f t="shared" si="2"/>
        <v>5</v>
      </c>
      <c r="M46" s="100">
        <f t="shared" si="3"/>
        <v>134</v>
      </c>
    </row>
    <row r="47" spans="2:13" ht="18" x14ac:dyDescent="0.2">
      <c r="B47" s="70">
        <v>1550071051</v>
      </c>
      <c r="C47" s="36" t="s">
        <v>61</v>
      </c>
      <c r="D47" s="36">
        <v>2010</v>
      </c>
      <c r="E47" s="37">
        <v>11</v>
      </c>
      <c r="F47" s="42">
        <v>0</v>
      </c>
      <c r="I47" s="33">
        <v>1550071245</v>
      </c>
      <c r="J47" s="100" t="str">
        <f t="shared" si="4"/>
        <v>GERMANY</v>
      </c>
      <c r="K47" s="100">
        <f t="shared" si="1"/>
        <v>2011</v>
      </c>
      <c r="L47" s="100">
        <f t="shared" si="2"/>
        <v>6</v>
      </c>
      <c r="M47" s="100">
        <f t="shared" si="3"/>
        <v>0</v>
      </c>
    </row>
    <row r="48" spans="2:13" ht="18" x14ac:dyDescent="0.2">
      <c r="B48" s="70">
        <v>1550071063</v>
      </c>
      <c r="C48" s="34" t="s">
        <v>62</v>
      </c>
      <c r="D48" s="34">
        <v>2010</v>
      </c>
      <c r="E48" s="35">
        <v>12</v>
      </c>
      <c r="F48" s="42">
        <v>0</v>
      </c>
      <c r="I48" s="33">
        <v>1550072975</v>
      </c>
      <c r="J48" s="100" t="str">
        <f t="shared" si="4"/>
        <v>UK</v>
      </c>
      <c r="K48" s="100">
        <f t="shared" si="1"/>
        <v>2011</v>
      </c>
      <c r="L48" s="100">
        <f t="shared" si="2"/>
        <v>7</v>
      </c>
      <c r="M48" s="100">
        <f t="shared" si="3"/>
        <v>200</v>
      </c>
    </row>
    <row r="49" spans="2:13" ht="18" x14ac:dyDescent="0.2">
      <c r="B49" s="70">
        <v>1550071070</v>
      </c>
      <c r="C49" s="36" t="s">
        <v>62</v>
      </c>
      <c r="D49" s="36">
        <v>2010</v>
      </c>
      <c r="E49" s="37">
        <v>1</v>
      </c>
      <c r="F49" s="42">
        <v>8</v>
      </c>
      <c r="I49" s="33">
        <v>1550070862</v>
      </c>
      <c r="J49" s="100" t="str">
        <f t="shared" si="4"/>
        <v>UK</v>
      </c>
      <c r="K49" s="100">
        <f t="shared" si="1"/>
        <v>2011</v>
      </c>
      <c r="L49" s="100">
        <f t="shared" si="2"/>
        <v>8</v>
      </c>
      <c r="M49" s="100">
        <f t="shared" si="3"/>
        <v>0</v>
      </c>
    </row>
    <row r="50" spans="2:13" ht="18" x14ac:dyDescent="0.2">
      <c r="B50" s="70">
        <v>48867012335</v>
      </c>
      <c r="C50" s="36" t="s">
        <v>62</v>
      </c>
      <c r="D50" s="36">
        <v>2010</v>
      </c>
      <c r="E50" s="37">
        <v>2</v>
      </c>
      <c r="F50" s="42">
        <v>86031</v>
      </c>
      <c r="I50" s="33">
        <v>1550071249</v>
      </c>
      <c r="J50" s="100" t="str">
        <f t="shared" si="4"/>
        <v>UK</v>
      </c>
      <c r="K50" s="100">
        <f t="shared" si="1"/>
        <v>2011</v>
      </c>
      <c r="L50" s="100">
        <f t="shared" si="2"/>
        <v>9</v>
      </c>
      <c r="M50" s="100">
        <f t="shared" si="3"/>
        <v>2114</v>
      </c>
    </row>
    <row r="51" spans="2:13" ht="18" x14ac:dyDescent="0.2">
      <c r="B51" s="70">
        <v>1700683877</v>
      </c>
      <c r="C51" s="36" t="s">
        <v>62</v>
      </c>
      <c r="D51" s="38">
        <v>2010</v>
      </c>
      <c r="E51" s="37">
        <v>3</v>
      </c>
      <c r="F51" s="42">
        <v>935.79</v>
      </c>
      <c r="I51" s="33">
        <v>1550071033</v>
      </c>
      <c r="J51" s="100" t="str">
        <f t="shared" si="4"/>
        <v>UK</v>
      </c>
      <c r="K51" s="100">
        <f t="shared" si="1"/>
        <v>2011</v>
      </c>
      <c r="L51" s="100">
        <f t="shared" si="2"/>
        <v>10</v>
      </c>
      <c r="M51" s="100">
        <f t="shared" si="3"/>
        <v>3646</v>
      </c>
    </row>
    <row r="52" spans="2:13" ht="18" x14ac:dyDescent="0.2">
      <c r="B52" s="70">
        <v>1700671080</v>
      </c>
      <c r="C52" s="36" t="s">
        <v>62</v>
      </c>
      <c r="D52" s="38">
        <v>2010</v>
      </c>
      <c r="E52" s="37">
        <v>4</v>
      </c>
      <c r="F52" s="42">
        <v>7397.11</v>
      </c>
      <c r="I52" s="33">
        <v>1550071035</v>
      </c>
      <c r="J52" s="100" t="str">
        <f t="shared" si="4"/>
        <v>UK</v>
      </c>
      <c r="K52" s="100">
        <f t="shared" si="1"/>
        <v>2011</v>
      </c>
      <c r="L52" s="100">
        <f t="shared" si="2"/>
        <v>11</v>
      </c>
      <c r="M52" s="100">
        <f t="shared" si="3"/>
        <v>100</v>
      </c>
    </row>
    <row r="53" spans="2:13" ht="18" x14ac:dyDescent="0.2">
      <c r="B53" s="70">
        <v>1780534854</v>
      </c>
      <c r="C53" s="36" t="s">
        <v>63</v>
      </c>
      <c r="D53" s="36">
        <v>2010</v>
      </c>
      <c r="E53" s="37">
        <v>1</v>
      </c>
      <c r="F53" s="42">
        <v>11574.47</v>
      </c>
      <c r="I53" s="33">
        <v>1550070895</v>
      </c>
      <c r="J53" s="100" t="str">
        <f t="shared" si="4"/>
        <v>UK</v>
      </c>
      <c r="K53" s="100">
        <f t="shared" si="1"/>
        <v>2011</v>
      </c>
      <c r="L53" s="100">
        <f t="shared" si="2"/>
        <v>12</v>
      </c>
      <c r="M53" s="100">
        <f t="shared" si="3"/>
        <v>0</v>
      </c>
    </row>
    <row r="54" spans="2:13" ht="18" x14ac:dyDescent="0.2">
      <c r="B54" s="70">
        <v>1783173067</v>
      </c>
      <c r="C54" s="36" t="s">
        <v>63</v>
      </c>
      <c r="D54" s="43">
        <v>2011</v>
      </c>
      <c r="E54" s="37">
        <v>1</v>
      </c>
      <c r="F54" s="42">
        <v>1922.97</v>
      </c>
      <c r="I54" s="33">
        <v>1550070896</v>
      </c>
      <c r="J54" s="100" t="str">
        <f t="shared" si="4"/>
        <v>UK</v>
      </c>
      <c r="K54" s="100">
        <f t="shared" si="1"/>
        <v>2011</v>
      </c>
      <c r="L54" s="100">
        <f t="shared" si="2"/>
        <v>1</v>
      </c>
      <c r="M54" s="100">
        <f t="shared" si="3"/>
        <v>260</v>
      </c>
    </row>
    <row r="55" spans="2:13" ht="18" x14ac:dyDescent="0.2">
      <c r="B55" s="70">
        <v>1780507234</v>
      </c>
      <c r="C55" s="36" t="s">
        <v>63</v>
      </c>
      <c r="D55" s="43">
        <v>2011</v>
      </c>
      <c r="E55" s="37">
        <v>1</v>
      </c>
      <c r="F55" s="42">
        <v>970.5</v>
      </c>
      <c r="I55" s="33">
        <v>1550070897</v>
      </c>
      <c r="J55" s="100" t="str">
        <f t="shared" si="4"/>
        <v>UK</v>
      </c>
      <c r="K55" s="100">
        <f t="shared" si="1"/>
        <v>2011</v>
      </c>
      <c r="L55" s="100">
        <f t="shared" si="2"/>
        <v>2</v>
      </c>
      <c r="M55" s="100">
        <f t="shared" si="3"/>
        <v>105.34</v>
      </c>
    </row>
    <row r="56" spans="2:13" ht="18" x14ac:dyDescent="0.2">
      <c r="B56" s="70">
        <v>1780538253</v>
      </c>
      <c r="C56" s="38" t="s">
        <v>63</v>
      </c>
      <c r="D56" s="38">
        <v>2011</v>
      </c>
      <c r="E56" s="37">
        <v>1</v>
      </c>
      <c r="F56" s="42">
        <v>601</v>
      </c>
      <c r="I56" s="33">
        <v>1550070854</v>
      </c>
      <c r="J56" s="100" t="str">
        <f t="shared" si="4"/>
        <v>UK</v>
      </c>
      <c r="K56" s="100">
        <f t="shared" si="1"/>
        <v>2011</v>
      </c>
      <c r="L56" s="100">
        <f t="shared" si="2"/>
        <v>3</v>
      </c>
      <c r="M56" s="100">
        <f t="shared" si="3"/>
        <v>0</v>
      </c>
    </row>
    <row r="57" spans="2:13" ht="18" x14ac:dyDescent="0.2">
      <c r="B57" s="70">
        <v>1782938199</v>
      </c>
      <c r="C57" s="38" t="s">
        <v>63</v>
      </c>
      <c r="D57" s="43">
        <v>2011</v>
      </c>
      <c r="E57" s="37">
        <v>12</v>
      </c>
      <c r="F57" s="42">
        <v>7173.2</v>
      </c>
      <c r="I57" s="33">
        <v>1550072992</v>
      </c>
      <c r="J57" s="100" t="str">
        <f t="shared" si="4"/>
        <v>GERMANY</v>
      </c>
      <c r="K57" s="100">
        <f t="shared" si="1"/>
        <v>2011</v>
      </c>
      <c r="L57" s="100">
        <f t="shared" si="2"/>
        <v>4</v>
      </c>
      <c r="M57" s="100">
        <f t="shared" si="3"/>
        <v>50</v>
      </c>
    </row>
    <row r="58" spans="2:13" ht="18" x14ac:dyDescent="0.2">
      <c r="B58" s="70">
        <v>1782138202</v>
      </c>
      <c r="C58" s="38" t="s">
        <v>63</v>
      </c>
      <c r="D58" s="43">
        <v>2011</v>
      </c>
      <c r="E58" s="37">
        <v>12</v>
      </c>
      <c r="F58" s="42">
        <v>8849.32</v>
      </c>
      <c r="I58" s="33">
        <v>1550071116</v>
      </c>
      <c r="J58" s="100" t="str">
        <f t="shared" si="4"/>
        <v>GERMANY</v>
      </c>
      <c r="K58" s="100">
        <f t="shared" si="1"/>
        <v>2011</v>
      </c>
      <c r="L58" s="100">
        <f t="shared" si="2"/>
        <v>5</v>
      </c>
      <c r="M58" s="100">
        <f t="shared" si="3"/>
        <v>1509.8</v>
      </c>
    </row>
    <row r="59" spans="2:13" ht="18" x14ac:dyDescent="0.2">
      <c r="B59" s="70">
        <v>1782938210</v>
      </c>
      <c r="C59" s="38" t="s">
        <v>63</v>
      </c>
      <c r="D59" s="38">
        <v>2011</v>
      </c>
      <c r="E59" s="37">
        <v>5</v>
      </c>
      <c r="F59" s="42">
        <v>380</v>
      </c>
      <c r="I59" s="33">
        <v>1550075131</v>
      </c>
      <c r="J59" s="100" t="str">
        <f t="shared" si="4"/>
        <v>GERMANY</v>
      </c>
      <c r="K59" s="100">
        <f t="shared" si="1"/>
        <v>2011</v>
      </c>
      <c r="L59" s="100">
        <f t="shared" si="2"/>
        <v>6</v>
      </c>
      <c r="M59" s="100">
        <f t="shared" si="3"/>
        <v>105.04</v>
      </c>
    </row>
    <row r="60" spans="2:13" ht="18" x14ac:dyDescent="0.2">
      <c r="B60" s="70">
        <v>1782138229</v>
      </c>
      <c r="C60" s="38" t="s">
        <v>63</v>
      </c>
      <c r="D60" s="38">
        <v>2011</v>
      </c>
      <c r="E60" s="37">
        <v>2</v>
      </c>
      <c r="F60" s="42">
        <v>317</v>
      </c>
      <c r="I60" s="33">
        <v>1550071107</v>
      </c>
      <c r="J60" s="100" t="str">
        <f t="shared" si="4"/>
        <v>UK</v>
      </c>
      <c r="K60" s="100">
        <f t="shared" si="1"/>
        <v>2010</v>
      </c>
      <c r="L60" s="100">
        <f t="shared" si="2"/>
        <v>5</v>
      </c>
      <c r="M60" s="100">
        <f t="shared" si="3"/>
        <v>214.28</v>
      </c>
    </row>
    <row r="61" spans="2:13" ht="18" x14ac:dyDescent="0.2">
      <c r="B61" s="70">
        <v>1780532883</v>
      </c>
      <c r="C61" s="38" t="s">
        <v>63</v>
      </c>
      <c r="D61" s="38">
        <v>2010</v>
      </c>
      <c r="E61" s="37">
        <v>1</v>
      </c>
      <c r="F61" s="42">
        <v>1998.62</v>
      </c>
      <c r="I61" s="33">
        <v>1550075144</v>
      </c>
      <c r="J61" s="100" t="str">
        <f t="shared" si="4"/>
        <v>UK</v>
      </c>
      <c r="K61" s="100">
        <f t="shared" si="1"/>
        <v>2010</v>
      </c>
      <c r="L61" s="100">
        <f t="shared" si="2"/>
        <v>6</v>
      </c>
      <c r="M61" s="100">
        <f t="shared" si="3"/>
        <v>42.02</v>
      </c>
    </row>
    <row r="62" spans="2:13" ht="18" x14ac:dyDescent="0.2">
      <c r="B62" s="70">
        <v>1782132891</v>
      </c>
      <c r="C62" s="38" t="s">
        <v>63</v>
      </c>
      <c r="D62" s="38">
        <v>2010</v>
      </c>
      <c r="E62" s="37">
        <v>1</v>
      </c>
      <c r="F62" s="42">
        <v>991</v>
      </c>
      <c r="I62" s="33">
        <v>1550071049</v>
      </c>
      <c r="J62" s="100" t="str">
        <f t="shared" si="4"/>
        <v>UK</v>
      </c>
      <c r="K62" s="100">
        <f t="shared" si="1"/>
        <v>2010</v>
      </c>
      <c r="L62" s="100">
        <f t="shared" si="2"/>
        <v>7</v>
      </c>
      <c r="M62" s="100">
        <f t="shared" si="3"/>
        <v>0</v>
      </c>
    </row>
    <row r="63" spans="2:13" ht="18" x14ac:dyDescent="0.2">
      <c r="B63" s="70">
        <v>1654006486</v>
      </c>
      <c r="C63" s="36" t="s">
        <v>60</v>
      </c>
      <c r="D63" s="36">
        <v>2010</v>
      </c>
      <c r="E63" s="37">
        <v>1</v>
      </c>
      <c r="F63" s="42">
        <v>10700</v>
      </c>
      <c r="I63" s="33">
        <v>1550075137</v>
      </c>
      <c r="J63" s="100" t="str">
        <f t="shared" si="4"/>
        <v>UK</v>
      </c>
      <c r="K63" s="100">
        <f t="shared" si="1"/>
        <v>2010</v>
      </c>
      <c r="L63" s="100">
        <f t="shared" si="2"/>
        <v>8</v>
      </c>
      <c r="M63" s="100">
        <f t="shared" si="3"/>
        <v>0</v>
      </c>
    </row>
    <row r="64" spans="2:13" ht="18" x14ac:dyDescent="0.2">
      <c r="B64" s="70">
        <v>48943403913</v>
      </c>
      <c r="C64" s="36" t="s">
        <v>60</v>
      </c>
      <c r="D64" s="36">
        <v>2010</v>
      </c>
      <c r="E64" s="37">
        <v>1</v>
      </c>
      <c r="F64" s="42">
        <v>66480.44</v>
      </c>
      <c r="I64" s="33">
        <v>1550071213</v>
      </c>
      <c r="J64" s="100" t="str">
        <f t="shared" si="4"/>
        <v>UK</v>
      </c>
      <c r="K64" s="100">
        <f t="shared" si="1"/>
        <v>2010</v>
      </c>
      <c r="L64" s="100">
        <f t="shared" si="2"/>
        <v>9</v>
      </c>
      <c r="M64" s="100">
        <f t="shared" si="3"/>
        <v>602</v>
      </c>
    </row>
    <row r="65" spans="2:13" ht="18" x14ac:dyDescent="0.2">
      <c r="B65" s="70">
        <v>48943602747</v>
      </c>
      <c r="C65" s="36" t="s">
        <v>60</v>
      </c>
      <c r="D65" s="36">
        <v>2010</v>
      </c>
      <c r="E65" s="37">
        <v>1</v>
      </c>
      <c r="F65" s="42">
        <v>95771.8</v>
      </c>
      <c r="I65" s="33">
        <v>1550071004</v>
      </c>
      <c r="J65" s="100" t="str">
        <f t="shared" si="4"/>
        <v>UK</v>
      </c>
      <c r="K65" s="100">
        <f t="shared" si="1"/>
        <v>2010</v>
      </c>
      <c r="L65" s="100">
        <f t="shared" si="2"/>
        <v>10</v>
      </c>
      <c r="M65" s="100">
        <f t="shared" si="3"/>
        <v>42.02</v>
      </c>
    </row>
    <row r="66" spans="2:13" ht="18" x14ac:dyDescent="0.2">
      <c r="B66" s="70">
        <v>1721596901</v>
      </c>
      <c r="C66" s="36" t="s">
        <v>65</v>
      </c>
      <c r="D66" s="36">
        <v>2010</v>
      </c>
      <c r="E66" s="37">
        <v>1</v>
      </c>
      <c r="F66" s="42">
        <v>5997.77</v>
      </c>
      <c r="I66" s="33">
        <v>1550071051</v>
      </c>
      <c r="J66" s="100" t="str">
        <f t="shared" si="4"/>
        <v>UK</v>
      </c>
      <c r="K66" s="100">
        <f t="shared" si="1"/>
        <v>2010</v>
      </c>
      <c r="L66" s="100">
        <f t="shared" si="2"/>
        <v>11</v>
      </c>
      <c r="M66" s="100">
        <f t="shared" si="3"/>
        <v>0</v>
      </c>
    </row>
    <row r="67" spans="2:13" ht="18" x14ac:dyDescent="0.2">
      <c r="B67" s="70">
        <v>1720274284</v>
      </c>
      <c r="C67" s="38" t="s">
        <v>65</v>
      </c>
      <c r="D67" s="43">
        <v>2011</v>
      </c>
      <c r="E67" s="37">
        <v>1</v>
      </c>
      <c r="F67" s="42">
        <v>42055.5</v>
      </c>
      <c r="I67" s="33">
        <v>1550071063</v>
      </c>
      <c r="J67" s="100" t="str">
        <f t="shared" si="4"/>
        <v>GERMANY</v>
      </c>
      <c r="K67" s="100">
        <f t="shared" si="1"/>
        <v>2010</v>
      </c>
      <c r="L67" s="100">
        <f t="shared" si="2"/>
        <v>12</v>
      </c>
      <c r="M67" s="100">
        <f t="shared" si="3"/>
        <v>0</v>
      </c>
    </row>
    <row r="68" spans="2:13" ht="18" x14ac:dyDescent="0.2">
      <c r="B68" s="70">
        <v>1720297646</v>
      </c>
      <c r="C68" s="38" t="s">
        <v>65</v>
      </c>
      <c r="D68" s="38">
        <v>2010</v>
      </c>
      <c r="E68" s="37">
        <v>1</v>
      </c>
      <c r="F68" s="42">
        <v>3684.66</v>
      </c>
      <c r="I68" s="33">
        <v>1550071070</v>
      </c>
      <c r="J68" s="100" t="str">
        <f t="shared" si="4"/>
        <v>GERMANY</v>
      </c>
      <c r="K68" s="100">
        <f t="shared" si="1"/>
        <v>2010</v>
      </c>
      <c r="L68" s="100">
        <f t="shared" si="2"/>
        <v>1</v>
      </c>
      <c r="M68" s="100">
        <f t="shared" si="3"/>
        <v>8</v>
      </c>
    </row>
    <row r="69" spans="2:13" ht="18" x14ac:dyDescent="0.2">
      <c r="B69" s="70">
        <v>1720297643</v>
      </c>
      <c r="C69" s="38" t="s">
        <v>65</v>
      </c>
      <c r="D69" s="38">
        <v>2010</v>
      </c>
      <c r="E69" s="37">
        <v>2</v>
      </c>
      <c r="F69" s="42">
        <v>484</v>
      </c>
      <c r="I69" s="33">
        <v>1780538253</v>
      </c>
      <c r="J69" s="100" t="str">
        <f t="shared" si="4"/>
        <v>NETHERLANDS</v>
      </c>
      <c r="K69" s="100">
        <f t="shared" si="1"/>
        <v>2011</v>
      </c>
      <c r="L69" s="100">
        <f t="shared" si="2"/>
        <v>1</v>
      </c>
      <c r="M69" s="100">
        <f t="shared" si="3"/>
        <v>601</v>
      </c>
    </row>
    <row r="70" spans="2:13" ht="18" x14ac:dyDescent="0.2">
      <c r="B70" s="70">
        <v>1614005737</v>
      </c>
      <c r="C70" s="36" t="s">
        <v>60</v>
      </c>
      <c r="D70" s="36">
        <v>2010</v>
      </c>
      <c r="E70" s="37">
        <v>4</v>
      </c>
      <c r="F70" s="42">
        <v>2750</v>
      </c>
      <c r="I70" s="33">
        <v>1782938199</v>
      </c>
      <c r="J70" s="100" t="str">
        <f t="shared" si="4"/>
        <v>NETHERLANDS</v>
      </c>
      <c r="K70" s="100">
        <f t="shared" si="1"/>
        <v>2011</v>
      </c>
      <c r="L70" s="100">
        <f t="shared" si="2"/>
        <v>12</v>
      </c>
      <c r="M70" s="100">
        <f t="shared" si="3"/>
        <v>7173.2</v>
      </c>
    </row>
    <row r="71" spans="2:13" ht="18" x14ac:dyDescent="0.2">
      <c r="B71" s="70">
        <v>1614105110</v>
      </c>
      <c r="C71" s="36" t="s">
        <v>60</v>
      </c>
      <c r="D71" s="36">
        <v>2010</v>
      </c>
      <c r="E71" s="37">
        <v>1</v>
      </c>
      <c r="F71" s="42">
        <v>7595</v>
      </c>
      <c r="I71" s="33">
        <v>1782138202</v>
      </c>
      <c r="J71" s="100" t="str">
        <f t="shared" si="4"/>
        <v>NETHERLANDS</v>
      </c>
      <c r="K71" s="100">
        <f t="shared" si="1"/>
        <v>2011</v>
      </c>
      <c r="L71" s="100">
        <f t="shared" si="2"/>
        <v>12</v>
      </c>
      <c r="M71" s="100">
        <f t="shared" si="3"/>
        <v>8849.32</v>
      </c>
    </row>
    <row r="72" spans="2:13" ht="18" x14ac:dyDescent="0.2">
      <c r="B72" s="70">
        <v>1614122656</v>
      </c>
      <c r="C72" s="38" t="s">
        <v>60</v>
      </c>
      <c r="D72" s="38">
        <v>2010</v>
      </c>
      <c r="E72" s="37">
        <v>1</v>
      </c>
      <c r="F72" s="42">
        <v>44765</v>
      </c>
      <c r="I72" s="33">
        <v>1782938210</v>
      </c>
      <c r="J72" s="100" t="str">
        <f t="shared" si="4"/>
        <v>NETHERLANDS</v>
      </c>
      <c r="K72" s="100">
        <f t="shared" si="1"/>
        <v>2011</v>
      </c>
      <c r="L72" s="100">
        <f t="shared" si="2"/>
        <v>5</v>
      </c>
      <c r="M72" s="100">
        <f t="shared" si="3"/>
        <v>380</v>
      </c>
    </row>
    <row r="73" spans="2:13" ht="18" x14ac:dyDescent="0.2">
      <c r="B73" s="70">
        <v>1614005921</v>
      </c>
      <c r="C73" s="38" t="s">
        <v>60</v>
      </c>
      <c r="D73" s="43">
        <v>2011</v>
      </c>
      <c r="E73" s="37">
        <v>5</v>
      </c>
      <c r="F73" s="42">
        <v>9940</v>
      </c>
      <c r="I73" s="33">
        <v>1782138229</v>
      </c>
      <c r="J73" s="100" t="str">
        <f t="shared" si="4"/>
        <v>NETHERLANDS</v>
      </c>
      <c r="K73" s="100">
        <f t="shared" si="1"/>
        <v>2011</v>
      </c>
      <c r="L73" s="100">
        <f t="shared" si="2"/>
        <v>2</v>
      </c>
      <c r="M73" s="100">
        <f t="shared" si="3"/>
        <v>317</v>
      </c>
    </row>
    <row r="74" spans="2:13" ht="18" x14ac:dyDescent="0.2">
      <c r="B74" s="70">
        <v>1614005922</v>
      </c>
      <c r="C74" s="38" t="s">
        <v>60</v>
      </c>
      <c r="D74" s="43">
        <v>2011</v>
      </c>
      <c r="E74" s="37">
        <v>5</v>
      </c>
      <c r="F74" s="42">
        <v>43215</v>
      </c>
      <c r="I74" s="33">
        <v>48906370343</v>
      </c>
      <c r="J74" s="100" t="str">
        <f t="shared" si="4"/>
        <v>AUSTRIA</v>
      </c>
      <c r="K74" s="100">
        <f t="shared" si="1"/>
        <v>2011</v>
      </c>
      <c r="L74" s="100">
        <f t="shared" si="2"/>
        <v>1</v>
      </c>
      <c r="M74" s="100">
        <f t="shared" si="3"/>
        <v>6315</v>
      </c>
    </row>
    <row r="75" spans="2:13" ht="18" x14ac:dyDescent="0.2">
      <c r="B75" s="70">
        <v>1614003679</v>
      </c>
      <c r="C75" s="36" t="s">
        <v>60</v>
      </c>
      <c r="D75" s="43">
        <v>2011</v>
      </c>
      <c r="E75" s="37">
        <v>1</v>
      </c>
      <c r="F75" s="42">
        <v>85515</v>
      </c>
      <c r="I75" s="33">
        <v>48906349573</v>
      </c>
      <c r="J75" s="100" t="str">
        <f t="shared" si="4"/>
        <v>AUSTRIA</v>
      </c>
      <c r="K75" s="100">
        <f t="shared" si="1"/>
        <v>2010</v>
      </c>
      <c r="L75" s="100">
        <f t="shared" si="2"/>
        <v>2</v>
      </c>
      <c r="M75" s="100">
        <f t="shared" si="3"/>
        <v>7447.49</v>
      </c>
    </row>
    <row r="76" spans="2:13" ht="18" x14ac:dyDescent="0.2">
      <c r="B76" s="70">
        <v>1614004035</v>
      </c>
      <c r="C76" s="38" t="s">
        <v>60</v>
      </c>
      <c r="D76" s="43">
        <v>2011</v>
      </c>
      <c r="E76" s="37">
        <v>1</v>
      </c>
      <c r="F76" s="42">
        <v>45482</v>
      </c>
      <c r="I76" s="33" t="s">
        <v>53</v>
      </c>
      <c r="J76" s="100" t="str">
        <f t="shared" si="4"/>
        <v>Australia</v>
      </c>
      <c r="K76" s="100">
        <f t="shared" ref="K76:K88" si="5">INDEX($B$11:$F$88,MATCH($I76,$B$11:$B$88,0),3)</f>
        <v>2010</v>
      </c>
      <c r="L76" s="100">
        <f t="shared" ref="L76:L88" si="6">INDEX($B$11:$F$88,MATCH($I76,$B$11:$B$88,0),4)</f>
        <v>1</v>
      </c>
      <c r="M76" s="100">
        <f t="shared" ref="M76:M88" si="7">INDEX($B$11:$F$88,MATCH($I76,$B$11:$B$88,0),5)</f>
        <v>57997</v>
      </c>
    </row>
    <row r="77" spans="2:13" ht="18" x14ac:dyDescent="0.2">
      <c r="B77" s="70">
        <v>1614004033</v>
      </c>
      <c r="C77" s="38" t="s">
        <v>60</v>
      </c>
      <c r="D77" s="43">
        <v>2011</v>
      </c>
      <c r="E77" s="37">
        <v>1</v>
      </c>
      <c r="F77" s="42">
        <v>3465</v>
      </c>
      <c r="I77" s="33" t="s">
        <v>54</v>
      </c>
      <c r="J77" s="100" t="str">
        <f t="shared" ref="J77:J88" si="8">INDEX($B$11:$F$88,MATCH($I77,$B$11:$B$88,0),2)</f>
        <v>Australia</v>
      </c>
      <c r="K77" s="100">
        <f t="shared" si="5"/>
        <v>2011</v>
      </c>
      <c r="L77" s="100">
        <f t="shared" si="6"/>
        <v>1</v>
      </c>
      <c r="M77" s="100">
        <f t="shared" si="7"/>
        <v>3200</v>
      </c>
    </row>
    <row r="78" spans="2:13" ht="18" x14ac:dyDescent="0.2">
      <c r="B78" s="70">
        <v>1614004408</v>
      </c>
      <c r="C78" s="38" t="s">
        <v>60</v>
      </c>
      <c r="D78" s="38">
        <v>2011</v>
      </c>
      <c r="E78" s="37">
        <v>3</v>
      </c>
      <c r="F78" s="42">
        <v>1700</v>
      </c>
      <c r="I78" s="33" t="s">
        <v>55</v>
      </c>
      <c r="J78" s="100" t="str">
        <f t="shared" si="8"/>
        <v>Australia</v>
      </c>
      <c r="K78" s="100">
        <f t="shared" si="5"/>
        <v>2011</v>
      </c>
      <c r="L78" s="100">
        <f t="shared" si="6"/>
        <v>2</v>
      </c>
      <c r="M78" s="100">
        <f t="shared" si="7"/>
        <v>43343</v>
      </c>
    </row>
    <row r="79" spans="2:13" ht="18" x14ac:dyDescent="0.2">
      <c r="B79" s="70">
        <v>1614004059</v>
      </c>
      <c r="C79" s="36" t="s">
        <v>60</v>
      </c>
      <c r="D79" s="43">
        <v>2011</v>
      </c>
      <c r="E79" s="37">
        <v>1</v>
      </c>
      <c r="F79" s="42">
        <v>16875</v>
      </c>
      <c r="I79" s="33" t="s">
        <v>56</v>
      </c>
      <c r="J79" s="100" t="str">
        <f t="shared" si="8"/>
        <v>Australia</v>
      </c>
      <c r="K79" s="100">
        <f t="shared" si="5"/>
        <v>2011</v>
      </c>
      <c r="L79" s="100">
        <f t="shared" si="6"/>
        <v>3</v>
      </c>
      <c r="M79" s="100">
        <f t="shared" si="7"/>
        <v>80898</v>
      </c>
    </row>
    <row r="80" spans="2:13" ht="18" x14ac:dyDescent="0.2">
      <c r="B80" s="70">
        <v>1614004034</v>
      </c>
      <c r="C80" s="36" t="s">
        <v>60</v>
      </c>
      <c r="D80" s="43">
        <v>2011</v>
      </c>
      <c r="E80" s="37">
        <v>5</v>
      </c>
      <c r="F80" s="42">
        <v>3483</v>
      </c>
      <c r="I80" s="33" t="s">
        <v>57</v>
      </c>
      <c r="J80" s="100" t="str">
        <f t="shared" si="8"/>
        <v>Australia</v>
      </c>
      <c r="K80" s="100">
        <f t="shared" si="5"/>
        <v>2011</v>
      </c>
      <c r="L80" s="100">
        <f t="shared" si="6"/>
        <v>4</v>
      </c>
      <c r="M80" s="100">
        <f t="shared" si="7"/>
        <v>15069</v>
      </c>
    </row>
    <row r="81" spans="2:13" ht="18" x14ac:dyDescent="0.2">
      <c r="B81" s="70">
        <v>1614004056</v>
      </c>
      <c r="C81" s="36" t="s">
        <v>60</v>
      </c>
      <c r="D81" s="36">
        <v>2010</v>
      </c>
      <c r="E81" s="37">
        <v>1</v>
      </c>
      <c r="F81" s="42">
        <v>7396</v>
      </c>
      <c r="I81" s="33" t="s">
        <v>58</v>
      </c>
      <c r="J81" s="100" t="str">
        <f t="shared" si="8"/>
        <v>Australia</v>
      </c>
      <c r="K81" s="100">
        <f t="shared" si="5"/>
        <v>2010</v>
      </c>
      <c r="L81" s="100">
        <f t="shared" si="6"/>
        <v>2</v>
      </c>
      <c r="M81" s="100">
        <f t="shared" si="7"/>
        <v>1191</v>
      </c>
    </row>
    <row r="82" spans="2:13" ht="18" x14ac:dyDescent="0.2">
      <c r="B82" s="70">
        <v>1614004752</v>
      </c>
      <c r="C82" s="36" t="s">
        <v>60</v>
      </c>
      <c r="D82" s="36">
        <v>2010</v>
      </c>
      <c r="E82" s="37">
        <v>1</v>
      </c>
      <c r="F82" s="42">
        <v>78800</v>
      </c>
      <c r="I82" s="33">
        <v>1720274284</v>
      </c>
      <c r="J82" s="100" t="str">
        <f t="shared" si="8"/>
        <v>SPAIN</v>
      </c>
      <c r="K82" s="100">
        <f t="shared" si="5"/>
        <v>2011</v>
      </c>
      <c r="L82" s="100">
        <f t="shared" si="6"/>
        <v>1</v>
      </c>
      <c r="M82" s="100">
        <f t="shared" si="7"/>
        <v>42055.5</v>
      </c>
    </row>
    <row r="83" spans="2:13" ht="18" x14ac:dyDescent="0.2">
      <c r="B83" s="70">
        <v>1761290840</v>
      </c>
      <c r="C83" s="36" t="s">
        <v>66</v>
      </c>
      <c r="D83" s="36">
        <v>2010</v>
      </c>
      <c r="E83" s="37">
        <v>10</v>
      </c>
      <c r="F83" s="42">
        <v>337</v>
      </c>
      <c r="I83" s="33">
        <v>1720297646</v>
      </c>
      <c r="J83" s="100" t="str">
        <f t="shared" si="8"/>
        <v>SPAIN</v>
      </c>
      <c r="K83" s="100">
        <f t="shared" si="5"/>
        <v>2010</v>
      </c>
      <c r="L83" s="100">
        <f t="shared" si="6"/>
        <v>1</v>
      </c>
      <c r="M83" s="100">
        <f t="shared" si="7"/>
        <v>3684.66</v>
      </c>
    </row>
    <row r="84" spans="2:13" ht="18" x14ac:dyDescent="0.2">
      <c r="B84" s="70">
        <v>1761291502</v>
      </c>
      <c r="C84" s="36" t="s">
        <v>66</v>
      </c>
      <c r="D84" s="43">
        <v>2011</v>
      </c>
      <c r="E84" s="37">
        <v>1</v>
      </c>
      <c r="F84" s="42">
        <v>2012</v>
      </c>
      <c r="I84" s="33">
        <v>1720297643</v>
      </c>
      <c r="J84" s="100" t="str">
        <f t="shared" si="8"/>
        <v>SPAIN</v>
      </c>
      <c r="K84" s="100">
        <f t="shared" si="5"/>
        <v>2010</v>
      </c>
      <c r="L84" s="100">
        <f t="shared" si="6"/>
        <v>2</v>
      </c>
      <c r="M84" s="100">
        <f t="shared" si="7"/>
        <v>484</v>
      </c>
    </row>
    <row r="85" spans="2:13" ht="18" x14ac:dyDescent="0.2">
      <c r="B85" s="70">
        <v>1327073134</v>
      </c>
      <c r="C85" s="36" t="s">
        <v>61</v>
      </c>
      <c r="D85" s="36">
        <v>2011</v>
      </c>
      <c r="E85" s="37">
        <v>3</v>
      </c>
      <c r="F85" s="42">
        <v>6269</v>
      </c>
      <c r="I85" s="33">
        <v>1780532883</v>
      </c>
      <c r="J85" s="100" t="str">
        <f t="shared" si="8"/>
        <v>NETHERLANDS</v>
      </c>
      <c r="K85" s="100">
        <f t="shared" si="5"/>
        <v>2010</v>
      </c>
      <c r="L85" s="100">
        <f t="shared" si="6"/>
        <v>1</v>
      </c>
      <c r="M85" s="100">
        <f t="shared" si="7"/>
        <v>1998.62</v>
      </c>
    </row>
    <row r="86" spans="2:13" ht="18" x14ac:dyDescent="0.2">
      <c r="B86" s="70">
        <v>1307100158</v>
      </c>
      <c r="C86" s="36" t="s">
        <v>61</v>
      </c>
      <c r="D86" s="36">
        <v>2010</v>
      </c>
      <c r="E86" s="37">
        <v>1</v>
      </c>
      <c r="F86" s="42">
        <v>16843.400000000001</v>
      </c>
      <c r="I86" s="33">
        <v>1782132891</v>
      </c>
      <c r="J86" s="100" t="str">
        <f t="shared" si="8"/>
        <v>NETHERLANDS</v>
      </c>
      <c r="K86" s="100">
        <f t="shared" si="5"/>
        <v>2010</v>
      </c>
      <c r="L86" s="100">
        <f t="shared" si="6"/>
        <v>1</v>
      </c>
      <c r="M86" s="100">
        <f t="shared" si="7"/>
        <v>991</v>
      </c>
    </row>
    <row r="87" spans="2:13" ht="18" x14ac:dyDescent="0.2">
      <c r="B87" s="70">
        <v>1332771087</v>
      </c>
      <c r="C87" s="38" t="s">
        <v>61</v>
      </c>
      <c r="D87" s="43">
        <v>2011</v>
      </c>
      <c r="E87" s="37">
        <v>1</v>
      </c>
      <c r="F87" s="42">
        <v>35130.639999999999</v>
      </c>
      <c r="I87" s="33">
        <v>1700683877</v>
      </c>
      <c r="J87" s="100" t="str">
        <f t="shared" si="8"/>
        <v>GERMANY</v>
      </c>
      <c r="K87" s="100">
        <f t="shared" si="5"/>
        <v>2010</v>
      </c>
      <c r="L87" s="100">
        <f t="shared" si="6"/>
        <v>3</v>
      </c>
      <c r="M87" s="100">
        <f t="shared" si="7"/>
        <v>935.79</v>
      </c>
    </row>
    <row r="88" spans="2:13" ht="18" x14ac:dyDescent="0.2">
      <c r="B88" s="70">
        <v>1327071086</v>
      </c>
      <c r="C88" s="36" t="s">
        <v>61</v>
      </c>
      <c r="D88" s="43">
        <v>2011</v>
      </c>
      <c r="E88" s="37">
        <v>1</v>
      </c>
      <c r="F88" s="42">
        <v>66</v>
      </c>
      <c r="I88" s="33">
        <v>1700671080</v>
      </c>
      <c r="J88" s="100" t="str">
        <f t="shared" si="8"/>
        <v>GERMANY</v>
      </c>
      <c r="K88" s="100">
        <f t="shared" si="5"/>
        <v>2010</v>
      </c>
      <c r="L88" s="100">
        <f t="shared" si="6"/>
        <v>4</v>
      </c>
      <c r="M88" s="100">
        <f t="shared" si="7"/>
        <v>7397.11</v>
      </c>
    </row>
  </sheetData>
  <mergeCells count="2">
    <mergeCell ref="B8:G8"/>
    <mergeCell ref="I8:N8"/>
  </mergeCells>
  <pageMargins left="0.7" right="0.7" top="0.75" bottom="0.75" header="0.3" footer="0.3"/>
  <pageSetup orientation="portrait" r:id="rId1"/>
  <headerFooter>
    <oddFooter>&amp;L9/7/2017&amp;CAXP Internal&amp;R4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91"/>
  <sheetViews>
    <sheetView showGridLines="0" zoomScale="124" zoomScaleNormal="90" workbookViewId="0"/>
  </sheetViews>
  <sheetFormatPr baseColWidth="10" defaultColWidth="8.83203125" defaultRowHeight="15" x14ac:dyDescent="0.2"/>
  <cols>
    <col min="2" max="2" width="12.83203125" customWidth="1"/>
    <col min="3" max="3" width="20.5" bestFit="1" customWidth="1"/>
    <col min="4" max="4" width="18.33203125" customWidth="1"/>
    <col min="5" max="5" width="10.5" customWidth="1"/>
    <col min="6" max="6" width="10.6640625" customWidth="1"/>
    <col min="7" max="7" width="12.5" customWidth="1"/>
    <col min="9" max="9" width="12" bestFit="1" customWidth="1"/>
  </cols>
  <sheetData>
    <row r="1" spans="1:10" x14ac:dyDescent="0.2">
      <c r="A1" s="45"/>
    </row>
    <row r="3" spans="1:10" ht="23" x14ac:dyDescent="0.25">
      <c r="B3" s="24" t="s">
        <v>86</v>
      </c>
      <c r="C3" s="8" t="s">
        <v>88</v>
      </c>
      <c r="I3" s="62" t="s">
        <v>116</v>
      </c>
      <c r="J3">
        <v>3</v>
      </c>
    </row>
    <row r="6" spans="1:10" ht="16" thickBot="1" x14ac:dyDescent="0.25"/>
    <row r="7" spans="1:10" ht="16" thickBot="1" x14ac:dyDescent="0.25">
      <c r="C7" s="46" t="s">
        <v>84</v>
      </c>
      <c r="D7" s="47"/>
      <c r="E7" s="51"/>
    </row>
    <row r="8" spans="1:10" ht="16" thickBot="1" x14ac:dyDescent="0.25">
      <c r="C8" s="48" t="s">
        <v>83</v>
      </c>
      <c r="D8" s="45"/>
      <c r="E8" s="53"/>
    </row>
    <row r="9" spans="1:10" ht="16" thickBot="1" x14ac:dyDescent="0.25">
      <c r="C9" s="49" t="s">
        <v>85</v>
      </c>
      <c r="D9" s="50"/>
      <c r="E9" s="52"/>
    </row>
    <row r="12" spans="1:10" ht="19" x14ac:dyDescent="0.25">
      <c r="G12" s="102" t="s">
        <v>179</v>
      </c>
    </row>
    <row r="13" spans="1:10" ht="19" x14ac:dyDescent="0.2">
      <c r="C13" s="32" t="s">
        <v>59</v>
      </c>
      <c r="D13" s="32" t="s">
        <v>75</v>
      </c>
      <c r="E13" s="32" t="s">
        <v>76</v>
      </c>
      <c r="F13" s="32" t="s">
        <v>77</v>
      </c>
      <c r="G13" s="32" t="s">
        <v>80</v>
      </c>
    </row>
    <row r="14" spans="1:10" ht="18" x14ac:dyDescent="0.2">
      <c r="C14" s="44">
        <v>48906370343</v>
      </c>
      <c r="D14" s="43" t="s">
        <v>70</v>
      </c>
      <c r="E14" s="43">
        <v>2011</v>
      </c>
      <c r="F14" s="35">
        <v>1</v>
      </c>
      <c r="G14" s="42">
        <v>31575</v>
      </c>
    </row>
    <row r="15" spans="1:10" ht="18" x14ac:dyDescent="0.2">
      <c r="C15" s="44">
        <v>48906349573</v>
      </c>
      <c r="D15" s="38" t="s">
        <v>70</v>
      </c>
      <c r="E15" s="38">
        <v>2010</v>
      </c>
      <c r="F15" s="37">
        <v>2</v>
      </c>
      <c r="G15" s="42">
        <v>37237.449999999997</v>
      </c>
    </row>
    <row r="16" spans="1:10" ht="18" x14ac:dyDescent="0.2">
      <c r="C16" s="44">
        <v>1660100002</v>
      </c>
      <c r="D16" s="36" t="s">
        <v>62</v>
      </c>
      <c r="E16" s="36">
        <v>2010</v>
      </c>
      <c r="F16" s="37">
        <v>1</v>
      </c>
      <c r="G16" s="42">
        <v>74305</v>
      </c>
    </row>
    <row r="17" spans="3:7" ht="18" x14ac:dyDescent="0.2">
      <c r="C17" s="44" t="s">
        <v>53</v>
      </c>
      <c r="D17" s="38" t="s">
        <v>81</v>
      </c>
      <c r="E17" s="38">
        <v>2010</v>
      </c>
      <c r="F17" s="37">
        <v>1</v>
      </c>
      <c r="G17" s="42">
        <v>57997</v>
      </c>
    </row>
    <row r="18" spans="3:7" ht="18" x14ac:dyDescent="0.2">
      <c r="C18" s="44" t="s">
        <v>54</v>
      </c>
      <c r="D18" s="38" t="s">
        <v>81</v>
      </c>
      <c r="E18" s="43">
        <v>2011</v>
      </c>
      <c r="F18" s="37">
        <v>1</v>
      </c>
      <c r="G18" s="42">
        <v>16000</v>
      </c>
    </row>
    <row r="19" spans="3:7" ht="18" x14ac:dyDescent="0.2">
      <c r="C19" s="44" t="s">
        <v>55</v>
      </c>
      <c r="D19" s="38" t="s">
        <v>81</v>
      </c>
      <c r="E19" s="43">
        <v>2011</v>
      </c>
      <c r="F19" s="37">
        <v>2</v>
      </c>
      <c r="G19" s="42">
        <v>43343</v>
      </c>
    </row>
    <row r="20" spans="3:7" ht="18" x14ac:dyDescent="0.2">
      <c r="C20" s="44" t="s">
        <v>56</v>
      </c>
      <c r="D20" s="38" t="s">
        <v>81</v>
      </c>
      <c r="E20" s="43">
        <v>2011</v>
      </c>
      <c r="F20" s="37">
        <v>3</v>
      </c>
      <c r="G20" s="42">
        <v>80898</v>
      </c>
    </row>
    <row r="21" spans="3:7" ht="18" x14ac:dyDescent="0.2">
      <c r="C21" s="44" t="s">
        <v>57</v>
      </c>
      <c r="D21" s="38" t="s">
        <v>81</v>
      </c>
      <c r="E21" s="43">
        <v>2011</v>
      </c>
      <c r="F21" s="37">
        <v>4</v>
      </c>
      <c r="G21" s="42">
        <v>15069</v>
      </c>
    </row>
    <row r="22" spans="3:7" ht="18" x14ac:dyDescent="0.2">
      <c r="C22" s="44" t="s">
        <v>58</v>
      </c>
      <c r="D22" s="38" t="s">
        <v>81</v>
      </c>
      <c r="E22" s="38">
        <v>2010</v>
      </c>
      <c r="F22" s="37">
        <v>2</v>
      </c>
      <c r="G22" s="42">
        <v>53595</v>
      </c>
    </row>
    <row r="23" spans="3:7" ht="18" x14ac:dyDescent="0.2">
      <c r="C23" s="44">
        <v>1550079668</v>
      </c>
      <c r="D23" s="36" t="s">
        <v>62</v>
      </c>
      <c r="E23" s="36">
        <v>2010</v>
      </c>
      <c r="F23" s="37">
        <v>2</v>
      </c>
      <c r="G23" s="42">
        <v>21145.98</v>
      </c>
    </row>
    <row r="24" spans="3:7" ht="18" x14ac:dyDescent="0.2">
      <c r="C24" s="44">
        <v>1550082381</v>
      </c>
      <c r="D24" s="36" t="s">
        <v>62</v>
      </c>
      <c r="E24" s="36">
        <v>2010</v>
      </c>
      <c r="F24" s="37">
        <v>3</v>
      </c>
      <c r="G24" s="42">
        <v>6165</v>
      </c>
    </row>
    <row r="25" spans="3:7" ht="18" x14ac:dyDescent="0.2">
      <c r="C25" s="44">
        <v>1550074871</v>
      </c>
      <c r="D25" s="36" t="s">
        <v>61</v>
      </c>
      <c r="E25" s="36">
        <v>2010</v>
      </c>
      <c r="F25" s="37">
        <v>4</v>
      </c>
      <c r="G25" s="42">
        <v>29606.25</v>
      </c>
    </row>
    <row r="26" spans="3:7" ht="18" x14ac:dyDescent="0.2">
      <c r="C26" s="44">
        <v>1550075136</v>
      </c>
      <c r="D26" s="34" t="s">
        <v>62</v>
      </c>
      <c r="E26" s="43">
        <v>2011</v>
      </c>
      <c r="F26" s="35">
        <v>1</v>
      </c>
      <c r="G26" s="42">
        <v>45000</v>
      </c>
    </row>
    <row r="27" spans="3:7" ht="18" x14ac:dyDescent="0.2">
      <c r="C27" s="44">
        <v>1550075141</v>
      </c>
      <c r="D27" s="36" t="s">
        <v>62</v>
      </c>
      <c r="E27" s="43">
        <v>2011</v>
      </c>
      <c r="F27" s="37">
        <v>2</v>
      </c>
      <c r="G27" s="42">
        <v>55000</v>
      </c>
    </row>
    <row r="28" spans="3:7" ht="18" x14ac:dyDescent="0.2">
      <c r="C28" s="44">
        <v>1550071047</v>
      </c>
      <c r="D28" s="38" t="s">
        <v>62</v>
      </c>
      <c r="E28" s="43">
        <v>2011</v>
      </c>
      <c r="F28" s="37">
        <v>3</v>
      </c>
      <c r="G28" s="42">
        <v>21240</v>
      </c>
    </row>
    <row r="29" spans="3:7" ht="18" x14ac:dyDescent="0.2">
      <c r="C29" s="44">
        <v>1550071041</v>
      </c>
      <c r="D29" s="38" t="s">
        <v>61</v>
      </c>
      <c r="E29" s="43">
        <v>2011</v>
      </c>
      <c r="F29" s="37">
        <v>4</v>
      </c>
      <c r="G29" s="42">
        <v>85290.75</v>
      </c>
    </row>
    <row r="30" spans="3:7" ht="18" x14ac:dyDescent="0.2">
      <c r="C30" s="44">
        <v>1550071173</v>
      </c>
      <c r="D30" s="38" t="s">
        <v>62</v>
      </c>
      <c r="E30" s="43">
        <v>2011</v>
      </c>
      <c r="F30" s="37">
        <v>5</v>
      </c>
      <c r="G30" s="42">
        <v>6030</v>
      </c>
    </row>
    <row r="31" spans="3:7" ht="18" x14ac:dyDescent="0.2">
      <c r="C31" s="44">
        <v>1550071245</v>
      </c>
      <c r="D31" s="38" t="s">
        <v>62</v>
      </c>
      <c r="E31" s="43">
        <v>2011</v>
      </c>
      <c r="F31" s="37">
        <v>6</v>
      </c>
      <c r="G31" s="42">
        <v>49000</v>
      </c>
    </row>
    <row r="32" spans="3:7" ht="18" x14ac:dyDescent="0.2">
      <c r="C32" s="44">
        <v>1550072975</v>
      </c>
      <c r="D32" s="38" t="s">
        <v>61</v>
      </c>
      <c r="E32" s="43">
        <v>2011</v>
      </c>
      <c r="F32" s="37">
        <v>7</v>
      </c>
      <c r="G32" s="42">
        <v>9000</v>
      </c>
    </row>
    <row r="33" spans="3:7" ht="18" x14ac:dyDescent="0.2">
      <c r="C33" s="44">
        <v>1550070862</v>
      </c>
      <c r="D33" s="38" t="s">
        <v>61</v>
      </c>
      <c r="E33" s="43">
        <v>2011</v>
      </c>
      <c r="F33" s="37">
        <v>8</v>
      </c>
      <c r="G33" s="42">
        <v>55000</v>
      </c>
    </row>
    <row r="34" spans="3:7" ht="18" x14ac:dyDescent="0.2">
      <c r="C34" s="44">
        <v>1550071249</v>
      </c>
      <c r="D34" s="38" t="s">
        <v>61</v>
      </c>
      <c r="E34" s="43">
        <v>2011</v>
      </c>
      <c r="F34" s="37">
        <v>9</v>
      </c>
      <c r="G34" s="42">
        <v>10570</v>
      </c>
    </row>
    <row r="35" spans="3:7" ht="18" x14ac:dyDescent="0.2">
      <c r="C35" s="44">
        <v>1550071033</v>
      </c>
      <c r="D35" s="38" t="s">
        <v>61</v>
      </c>
      <c r="E35" s="43">
        <v>2011</v>
      </c>
      <c r="F35" s="37">
        <v>10</v>
      </c>
      <c r="G35" s="42">
        <v>18230</v>
      </c>
    </row>
    <row r="36" spans="3:7" ht="18" x14ac:dyDescent="0.2">
      <c r="C36" s="44">
        <v>1550071035</v>
      </c>
      <c r="D36" s="38" t="s">
        <v>61</v>
      </c>
      <c r="E36" s="43">
        <v>2011</v>
      </c>
      <c r="F36" s="37">
        <v>11</v>
      </c>
      <c r="G36" s="42">
        <v>45000</v>
      </c>
    </row>
    <row r="37" spans="3:7" ht="18" x14ac:dyDescent="0.2">
      <c r="C37" s="44">
        <v>1550070895</v>
      </c>
      <c r="D37" s="38" t="s">
        <v>61</v>
      </c>
      <c r="E37" s="43">
        <v>2011</v>
      </c>
      <c r="F37" s="37">
        <v>12</v>
      </c>
      <c r="G37" s="42">
        <v>49000</v>
      </c>
    </row>
    <row r="38" spans="3:7" ht="18" x14ac:dyDescent="0.2">
      <c r="C38" s="44">
        <v>1550070896</v>
      </c>
      <c r="D38" s="38" t="s">
        <v>61</v>
      </c>
      <c r="E38" s="43">
        <v>2011</v>
      </c>
      <c r="F38" s="35">
        <v>1</v>
      </c>
      <c r="G38" s="42">
        <v>11700</v>
      </c>
    </row>
    <row r="39" spans="3:7" ht="18" x14ac:dyDescent="0.2">
      <c r="C39" s="44">
        <v>1550070897</v>
      </c>
      <c r="D39" s="38" t="s">
        <v>61</v>
      </c>
      <c r="E39" s="43">
        <v>2011</v>
      </c>
      <c r="F39" s="37">
        <v>2</v>
      </c>
      <c r="G39" s="42">
        <v>47403</v>
      </c>
    </row>
    <row r="40" spans="3:7" ht="18" x14ac:dyDescent="0.2">
      <c r="C40" s="44">
        <v>1550070854</v>
      </c>
      <c r="D40" s="38" t="s">
        <v>61</v>
      </c>
      <c r="E40" s="43">
        <v>2011</v>
      </c>
      <c r="F40" s="37">
        <v>3</v>
      </c>
      <c r="G40" s="42">
        <v>55000</v>
      </c>
    </row>
    <row r="41" spans="3:7" ht="18" x14ac:dyDescent="0.2">
      <c r="C41" s="44">
        <v>1550072992</v>
      </c>
      <c r="D41" s="38" t="s">
        <v>62</v>
      </c>
      <c r="E41" s="43">
        <v>2011</v>
      </c>
      <c r="F41" s="37">
        <v>4</v>
      </c>
      <c r="G41" s="42">
        <v>22500</v>
      </c>
    </row>
    <row r="42" spans="3:7" ht="18" x14ac:dyDescent="0.2">
      <c r="C42" s="44">
        <v>1550071116</v>
      </c>
      <c r="D42" s="38" t="s">
        <v>62</v>
      </c>
      <c r="E42" s="43">
        <v>2011</v>
      </c>
      <c r="F42" s="37">
        <v>5</v>
      </c>
      <c r="G42" s="42">
        <v>67941</v>
      </c>
    </row>
    <row r="43" spans="3:7" ht="18" x14ac:dyDescent="0.2">
      <c r="C43" s="44">
        <v>1550075131</v>
      </c>
      <c r="D43" s="38" t="s">
        <v>62</v>
      </c>
      <c r="E43" s="43">
        <v>2011</v>
      </c>
      <c r="F43" s="37">
        <v>6</v>
      </c>
      <c r="G43" s="42">
        <v>47268</v>
      </c>
    </row>
    <row r="44" spans="3:7" ht="18" x14ac:dyDescent="0.2">
      <c r="C44" s="44">
        <v>1550071107</v>
      </c>
      <c r="D44" s="36" t="s">
        <v>61</v>
      </c>
      <c r="E44" s="38">
        <v>2010</v>
      </c>
      <c r="F44" s="37">
        <v>5</v>
      </c>
      <c r="G44" s="42">
        <v>9642.6</v>
      </c>
    </row>
    <row r="45" spans="3:7" ht="18" x14ac:dyDescent="0.2">
      <c r="C45" s="44">
        <v>1550075144</v>
      </c>
      <c r="D45" s="36" t="s">
        <v>61</v>
      </c>
      <c r="E45" s="36">
        <v>2010</v>
      </c>
      <c r="F45" s="37">
        <v>6</v>
      </c>
      <c r="G45" s="42">
        <v>18909</v>
      </c>
    </row>
    <row r="46" spans="3:7" ht="18" x14ac:dyDescent="0.2">
      <c r="C46" s="44">
        <v>1550071049</v>
      </c>
      <c r="D46" s="36" t="s">
        <v>61</v>
      </c>
      <c r="E46" s="36">
        <v>2010</v>
      </c>
      <c r="F46" s="37">
        <v>7</v>
      </c>
      <c r="G46" s="42">
        <v>49000</v>
      </c>
    </row>
    <row r="47" spans="3:7" ht="18" x14ac:dyDescent="0.2">
      <c r="C47" s="44">
        <v>1550075137</v>
      </c>
      <c r="D47" s="36" t="s">
        <v>61</v>
      </c>
      <c r="E47" s="36">
        <v>2010</v>
      </c>
      <c r="F47" s="37">
        <v>8</v>
      </c>
      <c r="G47" s="42">
        <v>49000</v>
      </c>
    </row>
    <row r="48" spans="3:7" ht="18" x14ac:dyDescent="0.2">
      <c r="C48" s="44">
        <v>1550071213</v>
      </c>
      <c r="D48" s="36" t="s">
        <v>61</v>
      </c>
      <c r="E48" s="36">
        <v>2010</v>
      </c>
      <c r="F48" s="37">
        <v>9</v>
      </c>
      <c r="G48" s="42">
        <v>27090</v>
      </c>
    </row>
    <row r="49" spans="3:7" ht="18" x14ac:dyDescent="0.2">
      <c r="C49" s="44">
        <v>1550071004</v>
      </c>
      <c r="D49" s="36" t="s">
        <v>61</v>
      </c>
      <c r="E49" s="36">
        <v>2010</v>
      </c>
      <c r="F49" s="37">
        <v>10</v>
      </c>
      <c r="G49" s="42">
        <v>18909</v>
      </c>
    </row>
    <row r="50" spans="3:7" ht="18" x14ac:dyDescent="0.2">
      <c r="C50" s="44">
        <v>1550071051</v>
      </c>
      <c r="D50" s="36" t="s">
        <v>61</v>
      </c>
      <c r="E50" s="36">
        <v>2010</v>
      </c>
      <c r="F50" s="37">
        <v>11</v>
      </c>
      <c r="G50" s="42">
        <v>55000</v>
      </c>
    </row>
    <row r="51" spans="3:7" ht="18" x14ac:dyDescent="0.2">
      <c r="C51" s="44">
        <v>1550071063</v>
      </c>
      <c r="D51" s="34" t="s">
        <v>62</v>
      </c>
      <c r="E51" s="34">
        <v>2010</v>
      </c>
      <c r="F51" s="35">
        <v>12</v>
      </c>
      <c r="G51" s="42">
        <v>55000</v>
      </c>
    </row>
    <row r="52" spans="3:7" ht="18" x14ac:dyDescent="0.2">
      <c r="C52" s="44">
        <v>1550071070</v>
      </c>
      <c r="D52" s="36" t="s">
        <v>62</v>
      </c>
      <c r="E52" s="36">
        <v>2010</v>
      </c>
      <c r="F52" s="37">
        <v>1</v>
      </c>
      <c r="G52" s="42">
        <v>36000</v>
      </c>
    </row>
    <row r="53" spans="3:7" ht="18" x14ac:dyDescent="0.2">
      <c r="C53" s="44">
        <v>48867012335</v>
      </c>
      <c r="D53" s="36" t="s">
        <v>62</v>
      </c>
      <c r="E53" s="36">
        <v>2010</v>
      </c>
      <c r="F53" s="37">
        <v>2</v>
      </c>
      <c r="G53" s="42">
        <v>86031</v>
      </c>
    </row>
    <row r="54" spans="3:7" ht="18" x14ac:dyDescent="0.2">
      <c r="C54" s="44">
        <v>1700683877</v>
      </c>
      <c r="D54" s="36" t="s">
        <v>62</v>
      </c>
      <c r="E54" s="38">
        <v>2010</v>
      </c>
      <c r="F54" s="37">
        <v>3</v>
      </c>
      <c r="G54" s="42">
        <v>42110.55</v>
      </c>
    </row>
    <row r="55" spans="3:7" ht="18" x14ac:dyDescent="0.2">
      <c r="C55" s="44">
        <v>1700671080</v>
      </c>
      <c r="D55" s="36" t="s">
        <v>62</v>
      </c>
      <c r="E55" s="38">
        <v>2010</v>
      </c>
      <c r="F55" s="37">
        <v>4</v>
      </c>
      <c r="G55" s="42">
        <v>36985.550000000003</v>
      </c>
    </row>
    <row r="56" spans="3:7" ht="18" x14ac:dyDescent="0.2">
      <c r="C56" s="44">
        <v>1780534854</v>
      </c>
      <c r="D56" s="36" t="s">
        <v>63</v>
      </c>
      <c r="E56" s="36">
        <v>2010</v>
      </c>
      <c r="F56" s="37">
        <v>1</v>
      </c>
      <c r="G56" s="42">
        <v>11574.47</v>
      </c>
    </row>
    <row r="57" spans="3:7" ht="18" x14ac:dyDescent="0.2">
      <c r="C57" s="44">
        <v>1783173067</v>
      </c>
      <c r="D57" s="36" t="s">
        <v>63</v>
      </c>
      <c r="E57" s="43">
        <v>2011</v>
      </c>
      <c r="F57" s="37">
        <v>1</v>
      </c>
      <c r="G57" s="42">
        <v>86533.65</v>
      </c>
    </row>
    <row r="58" spans="3:7" ht="18" x14ac:dyDescent="0.2">
      <c r="C58" s="44">
        <v>1780507234</v>
      </c>
      <c r="D58" s="36" t="s">
        <v>63</v>
      </c>
      <c r="E58" s="43">
        <v>2011</v>
      </c>
      <c r="F58" s="37">
        <v>1</v>
      </c>
      <c r="G58" s="42">
        <v>43672.5</v>
      </c>
    </row>
    <row r="59" spans="3:7" ht="18" x14ac:dyDescent="0.2">
      <c r="C59" s="44">
        <v>1780538253</v>
      </c>
      <c r="D59" s="38" t="s">
        <v>63</v>
      </c>
      <c r="E59" s="38">
        <v>2011</v>
      </c>
      <c r="F59" s="37">
        <v>1</v>
      </c>
      <c r="G59" s="42">
        <v>27045</v>
      </c>
    </row>
    <row r="60" spans="3:7" ht="18" x14ac:dyDescent="0.2">
      <c r="C60" s="44">
        <v>1782938199</v>
      </c>
      <c r="D60" s="38" t="s">
        <v>63</v>
      </c>
      <c r="E60" s="43">
        <v>2011</v>
      </c>
      <c r="F60" s="37">
        <v>12</v>
      </c>
      <c r="G60" s="42">
        <v>35866</v>
      </c>
    </row>
    <row r="61" spans="3:7" ht="18" x14ac:dyDescent="0.2">
      <c r="C61" s="44">
        <v>1782138202</v>
      </c>
      <c r="D61" s="38" t="s">
        <v>63</v>
      </c>
      <c r="E61" s="43">
        <v>2011</v>
      </c>
      <c r="F61" s="37">
        <v>12</v>
      </c>
      <c r="G61" s="42">
        <v>44246.6</v>
      </c>
    </row>
    <row r="62" spans="3:7" ht="18" x14ac:dyDescent="0.2">
      <c r="C62" s="44">
        <v>1782938210</v>
      </c>
      <c r="D62" s="38" t="s">
        <v>63</v>
      </c>
      <c r="E62" s="38">
        <v>2011</v>
      </c>
      <c r="F62" s="37">
        <v>5</v>
      </c>
      <c r="G62" s="42">
        <v>17100</v>
      </c>
    </row>
    <row r="63" spans="3:7" ht="18" x14ac:dyDescent="0.2">
      <c r="C63" s="44">
        <v>1782138229</v>
      </c>
      <c r="D63" s="38" t="s">
        <v>63</v>
      </c>
      <c r="E63" s="38">
        <v>2011</v>
      </c>
      <c r="F63" s="37">
        <v>2</v>
      </c>
      <c r="G63" s="42">
        <v>14265</v>
      </c>
    </row>
    <row r="64" spans="3:7" ht="18" x14ac:dyDescent="0.2">
      <c r="C64" s="44">
        <v>1780532883</v>
      </c>
      <c r="D64" s="38" t="s">
        <v>63</v>
      </c>
      <c r="E64" s="38">
        <v>2010</v>
      </c>
      <c r="F64" s="37">
        <v>1</v>
      </c>
      <c r="G64" s="42">
        <v>89937.9</v>
      </c>
    </row>
    <row r="65" spans="3:7" ht="18" x14ac:dyDescent="0.2">
      <c r="C65" s="44">
        <v>1782132891</v>
      </c>
      <c r="D65" s="38" t="s">
        <v>63</v>
      </c>
      <c r="E65" s="38">
        <v>2010</v>
      </c>
      <c r="F65" s="37">
        <v>1</v>
      </c>
      <c r="G65" s="42">
        <v>44595</v>
      </c>
    </row>
    <row r="66" spans="3:7" ht="18" x14ac:dyDescent="0.2">
      <c r="C66" s="44">
        <v>1654006486</v>
      </c>
      <c r="D66" s="36" t="s">
        <v>60</v>
      </c>
      <c r="E66" s="36">
        <v>2010</v>
      </c>
      <c r="F66" s="37">
        <v>1</v>
      </c>
      <c r="G66" s="42">
        <v>10700</v>
      </c>
    </row>
    <row r="67" spans="3:7" ht="18" x14ac:dyDescent="0.2">
      <c r="C67" s="44">
        <v>48943403913</v>
      </c>
      <c r="D67" s="36" t="s">
        <v>60</v>
      </c>
      <c r="E67" s="36">
        <v>2010</v>
      </c>
      <c r="F67" s="37">
        <v>1</v>
      </c>
      <c r="G67" s="42">
        <v>66480.44</v>
      </c>
    </row>
    <row r="68" spans="3:7" ht="18" x14ac:dyDescent="0.2">
      <c r="C68" s="44">
        <v>48943602747</v>
      </c>
      <c r="D68" s="36" t="s">
        <v>60</v>
      </c>
      <c r="E68" s="36">
        <v>2010</v>
      </c>
      <c r="F68" s="37">
        <v>1</v>
      </c>
      <c r="G68" s="42">
        <v>95771.8</v>
      </c>
    </row>
    <row r="69" spans="3:7" ht="18" x14ac:dyDescent="0.2">
      <c r="C69" s="44">
        <v>1721596901</v>
      </c>
      <c r="D69" s="36" t="s">
        <v>65</v>
      </c>
      <c r="E69" s="36">
        <v>2010</v>
      </c>
      <c r="F69" s="37">
        <v>1</v>
      </c>
      <c r="G69" s="42">
        <v>29988.85</v>
      </c>
    </row>
    <row r="70" spans="3:7" ht="18" x14ac:dyDescent="0.2">
      <c r="C70" s="44">
        <v>1720274284</v>
      </c>
      <c r="D70" s="38" t="s">
        <v>65</v>
      </c>
      <c r="E70" s="43">
        <v>2011</v>
      </c>
      <c r="F70" s="37">
        <v>1</v>
      </c>
      <c r="G70" s="42">
        <v>42055.5</v>
      </c>
    </row>
    <row r="71" spans="3:7" ht="18" x14ac:dyDescent="0.2">
      <c r="C71" s="44">
        <v>1720297646</v>
      </c>
      <c r="D71" s="38" t="s">
        <v>65</v>
      </c>
      <c r="E71" s="38">
        <v>2010</v>
      </c>
      <c r="F71" s="37">
        <v>1</v>
      </c>
      <c r="G71" s="42">
        <v>18423.3</v>
      </c>
    </row>
    <row r="72" spans="3:7" ht="18" x14ac:dyDescent="0.2">
      <c r="C72" s="44">
        <v>1720297643</v>
      </c>
      <c r="D72" s="38" t="s">
        <v>65</v>
      </c>
      <c r="E72" s="38">
        <v>2010</v>
      </c>
      <c r="F72" s="37">
        <v>2</v>
      </c>
      <c r="G72" s="42">
        <v>21780</v>
      </c>
    </row>
    <row r="73" spans="3:7" ht="18" x14ac:dyDescent="0.2">
      <c r="C73" s="44">
        <v>1614005737</v>
      </c>
      <c r="D73" s="36" t="s">
        <v>60</v>
      </c>
      <c r="E73" s="36">
        <v>2010</v>
      </c>
      <c r="F73" s="37">
        <v>4</v>
      </c>
      <c r="G73" s="42">
        <v>13750</v>
      </c>
    </row>
    <row r="74" spans="3:7" ht="18" x14ac:dyDescent="0.2">
      <c r="C74" s="44">
        <v>1614105110</v>
      </c>
      <c r="D74" s="36" t="s">
        <v>60</v>
      </c>
      <c r="E74" s="36">
        <v>2010</v>
      </c>
      <c r="F74" s="37">
        <v>1</v>
      </c>
      <c r="G74" s="42">
        <v>37975</v>
      </c>
    </row>
    <row r="75" spans="3:7" ht="18" x14ac:dyDescent="0.2">
      <c r="C75" s="44">
        <v>1614122656</v>
      </c>
      <c r="D75" s="38" t="s">
        <v>60</v>
      </c>
      <c r="E75" s="38">
        <v>2010</v>
      </c>
      <c r="F75" s="37">
        <v>1</v>
      </c>
      <c r="G75" s="42">
        <v>44765</v>
      </c>
    </row>
    <row r="76" spans="3:7" ht="18" x14ac:dyDescent="0.2">
      <c r="C76" s="44">
        <v>1614005921</v>
      </c>
      <c r="D76" s="38" t="s">
        <v>60</v>
      </c>
      <c r="E76" s="43">
        <v>2011</v>
      </c>
      <c r="F76" s="37">
        <v>5</v>
      </c>
      <c r="G76" s="42">
        <v>49700</v>
      </c>
    </row>
    <row r="77" spans="3:7" ht="18" x14ac:dyDescent="0.2">
      <c r="C77" s="44">
        <v>1614005922</v>
      </c>
      <c r="D77" s="38" t="s">
        <v>60</v>
      </c>
      <c r="E77" s="43">
        <v>2011</v>
      </c>
      <c r="F77" s="37">
        <v>5</v>
      </c>
      <c r="G77" s="42">
        <v>43215</v>
      </c>
    </row>
    <row r="78" spans="3:7" ht="18" x14ac:dyDescent="0.2">
      <c r="C78" s="44">
        <v>1614003679</v>
      </c>
      <c r="D78" s="36" t="s">
        <v>60</v>
      </c>
      <c r="E78" s="43">
        <v>2011</v>
      </c>
      <c r="F78" s="37">
        <v>1</v>
      </c>
      <c r="G78" s="42">
        <v>85515</v>
      </c>
    </row>
    <row r="79" spans="3:7" ht="18" x14ac:dyDescent="0.2">
      <c r="C79" s="44">
        <v>1614004035</v>
      </c>
      <c r="D79" s="38" t="s">
        <v>60</v>
      </c>
      <c r="E79" s="43">
        <v>2011</v>
      </c>
      <c r="F79" s="37">
        <v>1</v>
      </c>
      <c r="G79" s="42">
        <v>45482</v>
      </c>
    </row>
    <row r="80" spans="3:7" ht="18" x14ac:dyDescent="0.2">
      <c r="C80" s="44">
        <v>1614004033</v>
      </c>
      <c r="D80" s="38" t="s">
        <v>60</v>
      </c>
      <c r="E80" s="43">
        <v>2011</v>
      </c>
      <c r="F80" s="37">
        <v>1</v>
      </c>
      <c r="G80" s="42">
        <v>17325</v>
      </c>
    </row>
    <row r="81" spans="3:7" ht="18" x14ac:dyDescent="0.2">
      <c r="C81" s="44">
        <v>1614004408</v>
      </c>
      <c r="D81" s="38" t="s">
        <v>60</v>
      </c>
      <c r="E81" s="38">
        <v>2011</v>
      </c>
      <c r="F81" s="37">
        <v>3</v>
      </c>
      <c r="G81" s="42">
        <v>76500</v>
      </c>
    </row>
    <row r="82" spans="3:7" ht="18" x14ac:dyDescent="0.2">
      <c r="C82" s="44">
        <v>1614004059</v>
      </c>
      <c r="D82" s="36" t="s">
        <v>60</v>
      </c>
      <c r="E82" s="43">
        <v>2011</v>
      </c>
      <c r="F82" s="37">
        <v>1</v>
      </c>
      <c r="G82" s="42">
        <v>16875</v>
      </c>
    </row>
    <row r="83" spans="3:7" ht="18" x14ac:dyDescent="0.2">
      <c r="C83" s="44">
        <v>1614004034</v>
      </c>
      <c r="D83" s="36" t="s">
        <v>60</v>
      </c>
      <c r="E83" s="43">
        <v>2011</v>
      </c>
      <c r="F83" s="37">
        <v>5</v>
      </c>
      <c r="G83" s="42">
        <v>17415</v>
      </c>
    </row>
    <row r="84" spans="3:7" ht="18" x14ac:dyDescent="0.2">
      <c r="C84" s="44">
        <v>1614004056</v>
      </c>
      <c r="D84" s="36" t="s">
        <v>60</v>
      </c>
      <c r="E84" s="36">
        <v>2010</v>
      </c>
      <c r="F84" s="37">
        <v>1</v>
      </c>
      <c r="G84" s="42">
        <v>36980</v>
      </c>
    </row>
    <row r="85" spans="3:7" ht="18" x14ac:dyDescent="0.2">
      <c r="C85" s="44">
        <v>1614004752</v>
      </c>
      <c r="D85" s="36" t="s">
        <v>60</v>
      </c>
      <c r="E85" s="36">
        <v>2010</v>
      </c>
      <c r="F85" s="37">
        <v>1</v>
      </c>
      <c r="G85" s="42">
        <v>78800</v>
      </c>
    </row>
    <row r="86" spans="3:7" ht="18" x14ac:dyDescent="0.2">
      <c r="C86" s="44">
        <v>1761290840</v>
      </c>
      <c r="D86" s="36" t="s">
        <v>66</v>
      </c>
      <c r="E86" s="36">
        <v>2010</v>
      </c>
      <c r="F86" s="37">
        <v>10</v>
      </c>
      <c r="G86" s="42">
        <v>15165</v>
      </c>
    </row>
    <row r="87" spans="3:7" ht="18" x14ac:dyDescent="0.2">
      <c r="C87" s="44">
        <v>1761291502</v>
      </c>
      <c r="D87" s="36" t="s">
        <v>66</v>
      </c>
      <c r="E87" s="43">
        <v>2011</v>
      </c>
      <c r="F87" s="37">
        <v>1</v>
      </c>
      <c r="G87" s="42">
        <v>10060</v>
      </c>
    </row>
    <row r="88" spans="3:7" ht="18" x14ac:dyDescent="0.2">
      <c r="C88" s="44">
        <v>1327073134</v>
      </c>
      <c r="D88" s="36" t="s">
        <v>61</v>
      </c>
      <c r="E88" s="36">
        <v>2011</v>
      </c>
      <c r="F88" s="37">
        <v>3</v>
      </c>
      <c r="G88" s="42">
        <v>31345</v>
      </c>
    </row>
    <row r="89" spans="3:7" ht="18" x14ac:dyDescent="0.2">
      <c r="C89" s="44">
        <v>1307100158</v>
      </c>
      <c r="D89" s="36" t="s">
        <v>61</v>
      </c>
      <c r="E89" s="36">
        <v>2010</v>
      </c>
      <c r="F89" s="37">
        <v>1</v>
      </c>
      <c r="G89" s="42">
        <v>16843.400000000001</v>
      </c>
    </row>
    <row r="90" spans="3:7" ht="18" x14ac:dyDescent="0.2">
      <c r="C90" s="44">
        <v>1332771087</v>
      </c>
      <c r="D90" s="38" t="s">
        <v>61</v>
      </c>
      <c r="E90" s="43">
        <v>2011</v>
      </c>
      <c r="F90" s="37">
        <v>1</v>
      </c>
      <c r="G90" s="42">
        <v>35130.639999999999</v>
      </c>
    </row>
    <row r="91" spans="3:7" ht="18" x14ac:dyDescent="0.2">
      <c r="C91" s="44">
        <v>1327071086</v>
      </c>
      <c r="D91" s="36" t="s">
        <v>61</v>
      </c>
      <c r="E91" s="43">
        <v>2011</v>
      </c>
      <c r="F91" s="37">
        <v>1</v>
      </c>
      <c r="G91" s="42">
        <v>29700</v>
      </c>
    </row>
  </sheetData>
  <conditionalFormatting sqref="G14:G91">
    <cfRule type="cellIs" dxfId="11" priority="1" operator="lessThan">
      <formula>50000</formula>
    </cfRule>
    <cfRule type="cellIs" dxfId="10" priority="2" operator="between">
      <formula>50000</formula>
      <formula>75000</formula>
    </cfRule>
    <cfRule type="cellIs" dxfId="9" priority="3" operator="greaterThanOrEqual">
      <formula>75000</formula>
    </cfRule>
  </conditionalFormatting>
  <pageMargins left="0.7" right="0.7" top="0.75" bottom="0.75" header="0.3" footer="0.3"/>
  <pageSetup orientation="portrait" r:id="rId1"/>
  <headerFooter>
    <oddFooter>&amp;L9/7/2017&amp;CAXP Internal&amp;R5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28"/>
  <sheetViews>
    <sheetView showGridLines="0" zoomScale="125" zoomScaleNormal="85" workbookViewId="0"/>
  </sheetViews>
  <sheetFormatPr baseColWidth="10" defaultColWidth="8.83203125" defaultRowHeight="15" x14ac:dyDescent="0.2"/>
  <cols>
    <col min="3" max="3" width="13.83203125" bestFit="1" customWidth="1"/>
    <col min="4" max="4" width="14.33203125" bestFit="1" customWidth="1"/>
    <col min="5" max="5" width="12.5" bestFit="1" customWidth="1"/>
    <col min="6" max="9" width="11.5" bestFit="1" customWidth="1"/>
    <col min="10" max="10" width="10.5" bestFit="1" customWidth="1"/>
    <col min="11" max="12" width="12.5" bestFit="1" customWidth="1"/>
    <col min="13" max="13" width="12.33203125" bestFit="1" customWidth="1"/>
    <col min="14" max="15" width="11.5" bestFit="1" customWidth="1"/>
    <col min="16" max="16" width="11.33203125" bestFit="1" customWidth="1"/>
  </cols>
  <sheetData>
    <row r="2" spans="2:16" ht="23" x14ac:dyDescent="0.25">
      <c r="B2" s="24" t="s">
        <v>89</v>
      </c>
    </row>
    <row r="3" spans="2:16" x14ac:dyDescent="0.2">
      <c r="C3" t="s">
        <v>98</v>
      </c>
      <c r="M3" s="54" t="s">
        <v>117</v>
      </c>
    </row>
    <row r="4" spans="2:16" ht="19" x14ac:dyDescent="0.25">
      <c r="C4" t="s">
        <v>149</v>
      </c>
      <c r="L4" s="105" t="s">
        <v>180</v>
      </c>
    </row>
    <row r="5" spans="2:16" ht="19" x14ac:dyDescent="0.25">
      <c r="C5" t="s">
        <v>99</v>
      </c>
      <c r="F5" s="102" t="s">
        <v>181</v>
      </c>
    </row>
    <row r="6" spans="2:16" ht="19" x14ac:dyDescent="0.25">
      <c r="C6" t="s">
        <v>100</v>
      </c>
      <c r="H6" s="102" t="s">
        <v>182</v>
      </c>
    </row>
    <row r="8" spans="2:16" ht="16" thickBot="1" x14ac:dyDescent="0.25"/>
    <row r="9" spans="2:16" ht="16" thickBot="1" x14ac:dyDescent="0.25">
      <c r="B9" s="59" t="s">
        <v>91</v>
      </c>
      <c r="C9" s="59">
        <v>2011</v>
      </c>
    </row>
    <row r="12" spans="2:16" ht="16" thickBot="1" x14ac:dyDescent="0.25">
      <c r="D12">
        <v>1</v>
      </c>
      <c r="E12">
        <v>2</v>
      </c>
      <c r="F12">
        <v>3</v>
      </c>
      <c r="G12">
        <v>4</v>
      </c>
      <c r="H12">
        <v>5</v>
      </c>
      <c r="I12">
        <v>6</v>
      </c>
      <c r="J12">
        <v>7</v>
      </c>
      <c r="K12">
        <v>8</v>
      </c>
      <c r="L12">
        <v>9</v>
      </c>
      <c r="M12">
        <v>10</v>
      </c>
      <c r="N12">
        <v>11</v>
      </c>
      <c r="O12">
        <v>12</v>
      </c>
    </row>
    <row r="13" spans="2:16" ht="16" thickBot="1" x14ac:dyDescent="0.25">
      <c r="C13" s="58"/>
      <c r="D13" s="74">
        <v>40544</v>
      </c>
      <c r="E13" s="74">
        <v>40575</v>
      </c>
      <c r="F13" s="74">
        <v>40603</v>
      </c>
      <c r="G13" s="74">
        <v>40634</v>
      </c>
      <c r="H13" s="74">
        <v>40664</v>
      </c>
      <c r="I13" s="74">
        <v>40695</v>
      </c>
      <c r="J13" s="74">
        <v>40725</v>
      </c>
      <c r="K13" s="74">
        <v>40756</v>
      </c>
      <c r="L13" s="74">
        <v>40787</v>
      </c>
      <c r="M13" s="74">
        <v>40817</v>
      </c>
      <c r="N13" s="74">
        <v>40848</v>
      </c>
      <c r="O13" s="74">
        <v>40878</v>
      </c>
      <c r="P13" s="74" t="s">
        <v>101</v>
      </c>
    </row>
    <row r="14" spans="2:16" x14ac:dyDescent="0.2">
      <c r="C14" s="57" t="s">
        <v>60</v>
      </c>
      <c r="D14" s="106">
        <f>SUMIFS(Data!$E$2:$E$400,Data!$C$2:$C$400,'Ques 5'!D$12,Data!$A$2:$A$400,'Ques 5'!$C14,Data!$B$2:$B$400,'Ques 5'!$C$9)</f>
        <v>0</v>
      </c>
      <c r="E14" s="106">
        <f>SUMIFS(Data!$E$2:$E$400,Data!$C$2:$C$400,'Ques 5'!E$12,Data!$A$2:$A$400,'Ques 5'!$C14,Data!$B$2:$B$400,'Ques 5'!$C$9)</f>
        <v>72002</v>
      </c>
      <c r="F14" s="106">
        <f>SUMIFS(Data!$E$2:$E$400,Data!$C$2:$C$400,'Ques 5'!F$12,Data!$A$2:$A$400,'Ques 5'!$C14,Data!$B$2:$B$400,'Ques 5'!$C$9)</f>
        <v>18835</v>
      </c>
      <c r="G14" s="106">
        <f>SUMIFS(Data!$E$2:$E$400,Data!$C$2:$C$400,'Ques 5'!G$12,Data!$A$2:$A$400,'Ques 5'!$C14,Data!$B$2:$B$400,'Ques 5'!$C$9)</f>
        <v>20863</v>
      </c>
      <c r="H14" s="106">
        <f>SUMIFS(Data!$E$2:$E$400,Data!$C$2:$C$400,'Ques 5'!H$12,Data!$A$2:$A$400,'Ques 5'!$C14,Data!$B$2:$B$400,'Ques 5'!$C$9)</f>
        <v>92160</v>
      </c>
      <c r="I14" s="106">
        <f>SUMIFS(Data!$E$2:$E$400,Data!$C$2:$C$400,'Ques 5'!I$12,Data!$A$2:$A$400,'Ques 5'!$C14,Data!$B$2:$B$400,'Ques 5'!$C$9)</f>
        <v>0</v>
      </c>
      <c r="J14" s="106">
        <f>SUMIFS(Data!$E$2:$E$400,Data!$C$2:$C$400,'Ques 5'!J$12,Data!$A$2:$A$400,'Ques 5'!$C14,Data!$B$2:$B$400,'Ques 5'!$C$9)</f>
        <v>0</v>
      </c>
      <c r="K14" s="106">
        <f>SUMIFS(Data!$E$2:$E$400,Data!$C$2:$C$400,'Ques 5'!K$12,Data!$A$2:$A$400,'Ques 5'!$C14,Data!$B$2:$B$400,'Ques 5'!$C$9)</f>
        <v>0</v>
      </c>
      <c r="L14" s="106">
        <f>SUMIFS(Data!$E$2:$E$400,Data!$C$2:$C$400,'Ques 5'!L$12,Data!$A$2:$A$400,'Ques 5'!$C14,Data!$B$2:$B$400,'Ques 5'!$C$9)</f>
        <v>0</v>
      </c>
      <c r="M14" s="106">
        <f>SUMIFS(Data!$E$2:$E$400,Data!$C$2:$C$400,'Ques 5'!M$12,Data!$A$2:$A$400,'Ques 5'!$C14,Data!$B$2:$B$400,'Ques 5'!$C$9)</f>
        <v>0</v>
      </c>
      <c r="N14" s="106">
        <f>SUMIFS(Data!$E$2:$E$400,Data!$C$2:$C$400,'Ques 5'!N$12,Data!$A$2:$A$400,'Ques 5'!$C14,Data!$B$2:$B$400,'Ques 5'!$C$9)</f>
        <v>0</v>
      </c>
      <c r="O14" s="106">
        <f>SUMIFS(Data!$E$2:$E$400,Data!$C$2:$C$400,'Ques 5'!O$12,Data!$A$2:$A$400,'Ques 5'!$C14,Data!$B$2:$B$400,'Ques 5'!$C$9)</f>
        <v>0</v>
      </c>
      <c r="P14" s="106">
        <f>SUM(D14:O14)</f>
        <v>203860</v>
      </c>
    </row>
    <row r="15" spans="2:16" x14ac:dyDescent="0.2">
      <c r="C15" s="55" t="s">
        <v>61</v>
      </c>
      <c r="D15" s="106">
        <f>SUMIFS(Data!$E$2:$E$400,Data!$C$2:$C$400,'Ques 5'!D$12,Data!$A$2:$A$400,'Ques 5'!$C15,Data!$B$2:$B$400,'Ques 5'!$C$9)</f>
        <v>0</v>
      </c>
      <c r="E15" s="106">
        <f>SUMIFS(Data!$E$2:$E$400,Data!$C$2:$C$400,'Ques 5'!E$12,Data!$A$2:$A$400,'Ques 5'!$C15,Data!$B$2:$B$400,'Ques 5'!$C$9)</f>
        <v>0</v>
      </c>
      <c r="F15" s="106">
        <f>SUMIFS(Data!$E$2:$E$400,Data!$C$2:$C$400,'Ques 5'!F$12,Data!$A$2:$A$400,'Ques 5'!$C15,Data!$B$2:$B$400,'Ques 5'!$C$9)</f>
        <v>6269</v>
      </c>
      <c r="G15" s="106">
        <f>SUMIFS(Data!$E$2:$E$400,Data!$C$2:$C$400,'Ques 5'!G$12,Data!$A$2:$A$400,'Ques 5'!$C15,Data!$B$2:$B$400,'Ques 5'!$C$9)</f>
        <v>390</v>
      </c>
      <c r="H15" s="106">
        <f>SUMIFS(Data!$E$2:$E$400,Data!$C$2:$C$400,'Ques 5'!H$12,Data!$A$2:$A$400,'Ques 5'!$C15,Data!$B$2:$B$400,'Ques 5'!$C$9)</f>
        <v>73.5</v>
      </c>
      <c r="I15" s="106">
        <f>SUMIFS(Data!$E$2:$E$400,Data!$C$2:$C$400,'Ques 5'!I$12,Data!$A$2:$A$400,'Ques 5'!$C15,Data!$B$2:$B$400,'Ques 5'!$C$9)</f>
        <v>27221.66</v>
      </c>
      <c r="J15" s="106">
        <f>SUMIFS(Data!$E$2:$E$400,Data!$C$2:$C$400,'Ques 5'!J$12,Data!$A$2:$A$400,'Ques 5'!$C15,Data!$B$2:$B$400,'Ques 5'!$C$9)</f>
        <v>0</v>
      </c>
      <c r="K15" s="106">
        <f>SUMIFS(Data!$E$2:$E$400,Data!$C$2:$C$400,'Ques 5'!K$12,Data!$A$2:$A$400,'Ques 5'!$C15,Data!$B$2:$B$400,'Ques 5'!$C$9)</f>
        <v>0</v>
      </c>
      <c r="L15" s="106">
        <f>SUMIFS(Data!$E$2:$E$400,Data!$C$2:$C$400,'Ques 5'!L$12,Data!$A$2:$A$400,'Ques 5'!$C15,Data!$B$2:$B$400,'Ques 5'!$C$9)</f>
        <v>0</v>
      </c>
      <c r="M15" s="106">
        <f>SUMIFS(Data!$E$2:$E$400,Data!$C$2:$C$400,'Ques 5'!M$12,Data!$A$2:$A$400,'Ques 5'!$C15,Data!$B$2:$B$400,'Ques 5'!$C$9)</f>
        <v>0</v>
      </c>
      <c r="N15" s="106">
        <f>SUMIFS(Data!$E$2:$E$400,Data!$C$2:$C$400,'Ques 5'!N$12,Data!$A$2:$A$400,'Ques 5'!$C15,Data!$B$2:$B$400,'Ques 5'!$C$9)</f>
        <v>0</v>
      </c>
      <c r="O15" s="106">
        <f>SUMIFS(Data!$E$2:$E$400,Data!$C$2:$C$400,'Ques 5'!O$12,Data!$A$2:$A$400,'Ques 5'!$C15,Data!$B$2:$B$400,'Ques 5'!$C$9)</f>
        <v>0</v>
      </c>
      <c r="P15" s="106">
        <f t="shared" ref="P15:P28" si="0">SUM(D15:O15)</f>
        <v>33954.160000000003</v>
      </c>
    </row>
    <row r="16" spans="2:16" x14ac:dyDescent="0.2">
      <c r="C16" s="55" t="s">
        <v>62</v>
      </c>
      <c r="D16" s="106">
        <f>SUMIFS(Data!$E$2:$E$400,Data!$C$2:$C$400,'Ques 5'!D$12,Data!$A$2:$A$400,'Ques 5'!$C16,Data!$B$2:$B$400,'Ques 5'!$C$9)</f>
        <v>148</v>
      </c>
      <c r="E16" s="106">
        <f>SUMIFS(Data!$E$2:$E$400,Data!$C$2:$C$400,'Ques 5'!E$12,Data!$A$2:$A$400,'Ques 5'!$C16,Data!$B$2:$B$400,'Ques 5'!$C$9)</f>
        <v>676</v>
      </c>
      <c r="F16" s="106">
        <f>SUMIFS(Data!$E$2:$E$400,Data!$C$2:$C$400,'Ques 5'!F$12,Data!$A$2:$A$400,'Ques 5'!$C16,Data!$B$2:$B$400,'Ques 5'!$C$9)</f>
        <v>0</v>
      </c>
      <c r="G16" s="106">
        <f>SUMIFS(Data!$E$2:$E$400,Data!$C$2:$C$400,'Ques 5'!G$12,Data!$A$2:$A$400,'Ques 5'!$C16,Data!$B$2:$B$400,'Ques 5'!$C$9)</f>
        <v>0</v>
      </c>
      <c r="H16" s="106">
        <f>SUMIFS(Data!$E$2:$E$400,Data!$C$2:$C$400,'Ques 5'!H$12,Data!$A$2:$A$400,'Ques 5'!$C16,Data!$B$2:$B$400,'Ques 5'!$C$9)</f>
        <v>0</v>
      </c>
      <c r="I16" s="106">
        <f>SUMIFS(Data!$E$2:$E$400,Data!$C$2:$C$400,'Ques 5'!I$12,Data!$A$2:$A$400,'Ques 5'!$C16,Data!$B$2:$B$400,'Ques 5'!$C$9)</f>
        <v>0</v>
      </c>
      <c r="J16" s="106">
        <f>SUMIFS(Data!$E$2:$E$400,Data!$C$2:$C$400,'Ques 5'!J$12,Data!$A$2:$A$400,'Ques 5'!$C16,Data!$B$2:$B$400,'Ques 5'!$C$9)</f>
        <v>0</v>
      </c>
      <c r="K16" s="106">
        <f>SUMIFS(Data!$E$2:$E$400,Data!$C$2:$C$400,'Ques 5'!K$12,Data!$A$2:$A$400,'Ques 5'!$C16,Data!$B$2:$B$400,'Ques 5'!$C$9)</f>
        <v>0</v>
      </c>
      <c r="L16" s="106">
        <f>SUMIFS(Data!$E$2:$E$400,Data!$C$2:$C$400,'Ques 5'!L$12,Data!$A$2:$A$400,'Ques 5'!$C16,Data!$B$2:$B$400,'Ques 5'!$C$9)</f>
        <v>0</v>
      </c>
      <c r="M16" s="106">
        <f>SUMIFS(Data!$E$2:$E$400,Data!$C$2:$C$400,'Ques 5'!M$12,Data!$A$2:$A$400,'Ques 5'!$C16,Data!$B$2:$B$400,'Ques 5'!$C$9)</f>
        <v>0</v>
      </c>
      <c r="N16" s="106">
        <f>SUMIFS(Data!$E$2:$E$400,Data!$C$2:$C$400,'Ques 5'!N$12,Data!$A$2:$A$400,'Ques 5'!$C16,Data!$B$2:$B$400,'Ques 5'!$C$9)</f>
        <v>0</v>
      </c>
      <c r="O16" s="106">
        <f>SUMIFS(Data!$E$2:$E$400,Data!$C$2:$C$400,'Ques 5'!O$12,Data!$A$2:$A$400,'Ques 5'!$C16,Data!$B$2:$B$400,'Ques 5'!$C$9)</f>
        <v>0</v>
      </c>
      <c r="P16" s="106">
        <f t="shared" si="0"/>
        <v>824</v>
      </c>
    </row>
    <row r="17" spans="3:16" x14ac:dyDescent="0.2">
      <c r="C17" s="55" t="s">
        <v>63</v>
      </c>
      <c r="D17" s="106">
        <f>SUMIFS(Data!$E$2:$E$400,Data!$C$2:$C$400,'Ques 5'!D$12,Data!$A$2:$A$400,'Ques 5'!$C17,Data!$B$2:$B$400,'Ques 5'!$C$9)</f>
        <v>601</v>
      </c>
      <c r="E17" s="106">
        <f>SUMIFS(Data!$E$2:$E$400,Data!$C$2:$C$400,'Ques 5'!E$12,Data!$A$2:$A$400,'Ques 5'!$C17,Data!$B$2:$B$400,'Ques 5'!$C$9)</f>
        <v>317</v>
      </c>
      <c r="F17" s="106">
        <f>SUMIFS(Data!$E$2:$E$400,Data!$C$2:$C$400,'Ques 5'!F$12,Data!$A$2:$A$400,'Ques 5'!$C17,Data!$B$2:$B$400,'Ques 5'!$C$9)</f>
        <v>0</v>
      </c>
      <c r="G17" s="106">
        <f>SUMIFS(Data!$E$2:$E$400,Data!$C$2:$C$400,'Ques 5'!G$12,Data!$A$2:$A$400,'Ques 5'!$C17,Data!$B$2:$B$400,'Ques 5'!$C$9)</f>
        <v>0</v>
      </c>
      <c r="H17" s="106">
        <f>SUMIFS(Data!$E$2:$E$400,Data!$C$2:$C$400,'Ques 5'!H$12,Data!$A$2:$A$400,'Ques 5'!$C17,Data!$B$2:$B$400,'Ques 5'!$C$9)</f>
        <v>380</v>
      </c>
      <c r="I17" s="106">
        <f>SUMIFS(Data!$E$2:$E$400,Data!$C$2:$C$400,'Ques 5'!I$12,Data!$A$2:$A$400,'Ques 5'!$C17,Data!$B$2:$B$400,'Ques 5'!$C$9)</f>
        <v>0</v>
      </c>
      <c r="J17" s="106">
        <f>SUMIFS(Data!$E$2:$E$400,Data!$C$2:$C$400,'Ques 5'!J$12,Data!$A$2:$A$400,'Ques 5'!$C17,Data!$B$2:$B$400,'Ques 5'!$C$9)</f>
        <v>0</v>
      </c>
      <c r="K17" s="106">
        <f>SUMIFS(Data!$E$2:$E$400,Data!$C$2:$C$400,'Ques 5'!K$12,Data!$A$2:$A$400,'Ques 5'!$C17,Data!$B$2:$B$400,'Ques 5'!$C$9)</f>
        <v>0</v>
      </c>
      <c r="L17" s="106">
        <f>SUMIFS(Data!$E$2:$E$400,Data!$C$2:$C$400,'Ques 5'!L$12,Data!$A$2:$A$400,'Ques 5'!$C17,Data!$B$2:$B$400,'Ques 5'!$C$9)</f>
        <v>0</v>
      </c>
      <c r="M17" s="106">
        <f>SUMIFS(Data!$E$2:$E$400,Data!$C$2:$C$400,'Ques 5'!M$12,Data!$A$2:$A$400,'Ques 5'!$C17,Data!$B$2:$B$400,'Ques 5'!$C$9)</f>
        <v>0</v>
      </c>
      <c r="N17" s="106">
        <f>SUMIFS(Data!$E$2:$E$400,Data!$C$2:$C$400,'Ques 5'!N$12,Data!$A$2:$A$400,'Ques 5'!$C17,Data!$B$2:$B$400,'Ques 5'!$C$9)</f>
        <v>0</v>
      </c>
      <c r="O17" s="106">
        <f>SUMIFS(Data!$E$2:$E$400,Data!$C$2:$C$400,'Ques 5'!O$12,Data!$A$2:$A$400,'Ques 5'!$C17,Data!$B$2:$B$400,'Ques 5'!$C$9)</f>
        <v>0</v>
      </c>
      <c r="P17" s="106">
        <f t="shared" si="0"/>
        <v>1298</v>
      </c>
    </row>
    <row r="18" spans="3:16" x14ac:dyDescent="0.2">
      <c r="C18" s="55" t="s">
        <v>64</v>
      </c>
      <c r="D18" s="106">
        <f>SUMIFS(Data!$E$2:$E$400,Data!$C$2:$C$400,'Ques 5'!D$12,Data!$A$2:$A$400,'Ques 5'!$C18,Data!$B$2:$B$400,'Ques 5'!$C$9)</f>
        <v>4400</v>
      </c>
      <c r="E18" s="106">
        <f>SUMIFS(Data!$E$2:$E$400,Data!$C$2:$C$400,'Ques 5'!E$12,Data!$A$2:$A$400,'Ques 5'!$C18,Data!$B$2:$B$400,'Ques 5'!$C$9)</f>
        <v>16905</v>
      </c>
      <c r="F18" s="106">
        <f>SUMIFS(Data!$E$2:$E$400,Data!$C$2:$C$400,'Ques 5'!F$12,Data!$A$2:$A$400,'Ques 5'!$C18,Data!$B$2:$B$400,'Ques 5'!$C$9)</f>
        <v>0</v>
      </c>
      <c r="G18" s="106">
        <f>SUMIFS(Data!$E$2:$E$400,Data!$C$2:$C$400,'Ques 5'!G$12,Data!$A$2:$A$400,'Ques 5'!$C18,Data!$B$2:$B$400,'Ques 5'!$C$9)</f>
        <v>0</v>
      </c>
      <c r="H18" s="106">
        <f>SUMIFS(Data!$E$2:$E$400,Data!$C$2:$C$400,'Ques 5'!H$12,Data!$A$2:$A$400,'Ques 5'!$C18,Data!$B$2:$B$400,'Ques 5'!$C$9)</f>
        <v>0</v>
      </c>
      <c r="I18" s="106">
        <f>SUMIFS(Data!$E$2:$E$400,Data!$C$2:$C$400,'Ques 5'!I$12,Data!$A$2:$A$400,'Ques 5'!$C18,Data!$B$2:$B$400,'Ques 5'!$C$9)</f>
        <v>167910</v>
      </c>
      <c r="J18" s="106">
        <f>SUMIFS(Data!$E$2:$E$400,Data!$C$2:$C$400,'Ques 5'!J$12,Data!$A$2:$A$400,'Ques 5'!$C18,Data!$B$2:$B$400,'Ques 5'!$C$9)</f>
        <v>0</v>
      </c>
      <c r="K18" s="106">
        <f>SUMIFS(Data!$E$2:$E$400,Data!$C$2:$C$400,'Ques 5'!K$12,Data!$A$2:$A$400,'Ques 5'!$C18,Data!$B$2:$B$400,'Ques 5'!$C$9)</f>
        <v>0</v>
      </c>
      <c r="L18" s="106">
        <f>SUMIFS(Data!$E$2:$E$400,Data!$C$2:$C$400,'Ques 5'!L$12,Data!$A$2:$A$400,'Ques 5'!$C18,Data!$B$2:$B$400,'Ques 5'!$C$9)</f>
        <v>0</v>
      </c>
      <c r="M18" s="106">
        <f>SUMIFS(Data!$E$2:$E$400,Data!$C$2:$C$400,'Ques 5'!M$12,Data!$A$2:$A$400,'Ques 5'!$C18,Data!$B$2:$B$400,'Ques 5'!$C$9)</f>
        <v>0</v>
      </c>
      <c r="N18" s="106">
        <f>SUMIFS(Data!$E$2:$E$400,Data!$C$2:$C$400,'Ques 5'!N$12,Data!$A$2:$A$400,'Ques 5'!$C18,Data!$B$2:$B$400,'Ques 5'!$C$9)</f>
        <v>0</v>
      </c>
      <c r="O18" s="106">
        <f>SUMIFS(Data!$E$2:$E$400,Data!$C$2:$C$400,'Ques 5'!O$12,Data!$A$2:$A$400,'Ques 5'!$C18,Data!$B$2:$B$400,'Ques 5'!$C$9)</f>
        <v>0</v>
      </c>
      <c r="P18" s="106">
        <f t="shared" si="0"/>
        <v>189215</v>
      </c>
    </row>
    <row r="19" spans="3:16" x14ac:dyDescent="0.2">
      <c r="C19" s="55" t="s">
        <v>65</v>
      </c>
      <c r="D19" s="106">
        <f>SUMIFS(Data!$E$2:$E$400,Data!$C$2:$C$400,'Ques 5'!D$12,Data!$A$2:$A$400,'Ques 5'!$C19,Data!$B$2:$B$400,'Ques 5'!$C$9)</f>
        <v>0</v>
      </c>
      <c r="E19" s="106">
        <f>SUMIFS(Data!$E$2:$E$400,Data!$C$2:$C$400,'Ques 5'!E$12,Data!$A$2:$A$400,'Ques 5'!$C19,Data!$B$2:$B$400,'Ques 5'!$C$9)</f>
        <v>0</v>
      </c>
      <c r="F19" s="106">
        <f>SUMIFS(Data!$E$2:$E$400,Data!$C$2:$C$400,'Ques 5'!F$12,Data!$A$2:$A$400,'Ques 5'!$C19,Data!$B$2:$B$400,'Ques 5'!$C$9)</f>
        <v>0</v>
      </c>
      <c r="G19" s="106">
        <f>SUMIFS(Data!$E$2:$E$400,Data!$C$2:$C$400,'Ques 5'!G$12,Data!$A$2:$A$400,'Ques 5'!$C19,Data!$B$2:$B$400,'Ques 5'!$C$9)</f>
        <v>0</v>
      </c>
      <c r="H19" s="106">
        <f>SUMIFS(Data!$E$2:$E$400,Data!$C$2:$C$400,'Ques 5'!H$12,Data!$A$2:$A$400,'Ques 5'!$C19,Data!$B$2:$B$400,'Ques 5'!$C$9)</f>
        <v>0</v>
      </c>
      <c r="I19" s="106">
        <f>SUMIFS(Data!$E$2:$E$400,Data!$C$2:$C$400,'Ques 5'!I$12,Data!$A$2:$A$400,'Ques 5'!$C19,Data!$B$2:$B$400,'Ques 5'!$C$9)</f>
        <v>0</v>
      </c>
      <c r="J19" s="106">
        <f>SUMIFS(Data!$E$2:$E$400,Data!$C$2:$C$400,'Ques 5'!J$12,Data!$A$2:$A$400,'Ques 5'!$C19,Data!$B$2:$B$400,'Ques 5'!$C$9)</f>
        <v>0</v>
      </c>
      <c r="K19" s="106">
        <f>SUMIFS(Data!$E$2:$E$400,Data!$C$2:$C$400,'Ques 5'!K$12,Data!$A$2:$A$400,'Ques 5'!$C19,Data!$B$2:$B$400,'Ques 5'!$C$9)</f>
        <v>0</v>
      </c>
      <c r="L19" s="106">
        <f>SUMIFS(Data!$E$2:$E$400,Data!$C$2:$C$400,'Ques 5'!L$12,Data!$A$2:$A$400,'Ques 5'!$C19,Data!$B$2:$B$400,'Ques 5'!$C$9)</f>
        <v>0</v>
      </c>
      <c r="M19" s="106">
        <f>SUMIFS(Data!$E$2:$E$400,Data!$C$2:$C$400,'Ques 5'!M$12,Data!$A$2:$A$400,'Ques 5'!$C19,Data!$B$2:$B$400,'Ques 5'!$C$9)</f>
        <v>0</v>
      </c>
      <c r="N19" s="106">
        <f>SUMIFS(Data!$E$2:$E$400,Data!$C$2:$C$400,'Ques 5'!N$12,Data!$A$2:$A$400,'Ques 5'!$C19,Data!$B$2:$B$400,'Ques 5'!$C$9)</f>
        <v>0</v>
      </c>
      <c r="O19" s="106">
        <f>SUMIFS(Data!$E$2:$E$400,Data!$C$2:$C$400,'Ques 5'!O$12,Data!$A$2:$A$400,'Ques 5'!$C19,Data!$B$2:$B$400,'Ques 5'!$C$9)</f>
        <v>0</v>
      </c>
      <c r="P19" s="106">
        <f t="shared" si="0"/>
        <v>0</v>
      </c>
    </row>
    <row r="20" spans="3:16" x14ac:dyDescent="0.2">
      <c r="C20" s="55" t="s">
        <v>66</v>
      </c>
      <c r="D20" s="106">
        <f>SUMIFS(Data!$E$2:$E$400,Data!$C$2:$C$400,'Ques 5'!D$12,Data!$A$2:$A$400,'Ques 5'!$C20,Data!$B$2:$B$400,'Ques 5'!$C$9)</f>
        <v>2384.6999999999998</v>
      </c>
      <c r="E20" s="106">
        <f>SUMIFS(Data!$E$2:$E$400,Data!$C$2:$C$400,'Ques 5'!E$12,Data!$A$2:$A$400,'Ques 5'!$C20,Data!$B$2:$B$400,'Ques 5'!$C$9)</f>
        <v>3427</v>
      </c>
      <c r="F20" s="106">
        <f>SUMIFS(Data!$E$2:$E$400,Data!$C$2:$C$400,'Ques 5'!F$12,Data!$A$2:$A$400,'Ques 5'!$C20,Data!$B$2:$B$400,'Ques 5'!$C$9)</f>
        <v>1749</v>
      </c>
      <c r="G20" s="106">
        <f>SUMIFS(Data!$E$2:$E$400,Data!$C$2:$C$400,'Ques 5'!G$12,Data!$A$2:$A$400,'Ques 5'!$C20,Data!$B$2:$B$400,'Ques 5'!$C$9)</f>
        <v>0</v>
      </c>
      <c r="H20" s="106">
        <f>SUMIFS(Data!$E$2:$E$400,Data!$C$2:$C$400,'Ques 5'!H$12,Data!$A$2:$A$400,'Ques 5'!$C20,Data!$B$2:$B$400,'Ques 5'!$C$9)</f>
        <v>1921</v>
      </c>
      <c r="I20" s="106">
        <f>SUMIFS(Data!$E$2:$E$400,Data!$C$2:$C$400,'Ques 5'!I$12,Data!$A$2:$A$400,'Ques 5'!$C20,Data!$B$2:$B$400,'Ques 5'!$C$9)</f>
        <v>892</v>
      </c>
      <c r="J20" s="106">
        <f>SUMIFS(Data!$E$2:$E$400,Data!$C$2:$C$400,'Ques 5'!J$12,Data!$A$2:$A$400,'Ques 5'!$C20,Data!$B$2:$B$400,'Ques 5'!$C$9)</f>
        <v>0</v>
      </c>
      <c r="K20" s="106">
        <f>SUMIFS(Data!$E$2:$E$400,Data!$C$2:$C$400,'Ques 5'!K$12,Data!$A$2:$A$400,'Ques 5'!$C20,Data!$B$2:$B$400,'Ques 5'!$C$9)</f>
        <v>0</v>
      </c>
      <c r="L20" s="106">
        <f>SUMIFS(Data!$E$2:$E$400,Data!$C$2:$C$400,'Ques 5'!L$12,Data!$A$2:$A$400,'Ques 5'!$C20,Data!$B$2:$B$400,'Ques 5'!$C$9)</f>
        <v>0</v>
      </c>
      <c r="M20" s="106">
        <f>SUMIFS(Data!$E$2:$E$400,Data!$C$2:$C$400,'Ques 5'!M$12,Data!$A$2:$A$400,'Ques 5'!$C20,Data!$B$2:$B$400,'Ques 5'!$C$9)</f>
        <v>0</v>
      </c>
      <c r="N20" s="106">
        <f>SUMIFS(Data!$E$2:$E$400,Data!$C$2:$C$400,'Ques 5'!N$12,Data!$A$2:$A$400,'Ques 5'!$C20,Data!$B$2:$B$400,'Ques 5'!$C$9)</f>
        <v>0</v>
      </c>
      <c r="O20" s="106">
        <f>SUMIFS(Data!$E$2:$E$400,Data!$C$2:$C$400,'Ques 5'!O$12,Data!$A$2:$A$400,'Ques 5'!$C20,Data!$B$2:$B$400,'Ques 5'!$C$9)</f>
        <v>0</v>
      </c>
      <c r="P20" s="106">
        <f t="shared" si="0"/>
        <v>10373.700000000001</v>
      </c>
    </row>
    <row r="21" spans="3:16" x14ac:dyDescent="0.2">
      <c r="C21" s="55" t="s">
        <v>67</v>
      </c>
      <c r="D21" s="106">
        <f>SUMIFS(Data!$E$2:$E$400,Data!$C$2:$C$400,'Ques 5'!D$12,Data!$A$2:$A$400,'Ques 5'!$C21,Data!$B$2:$B$400,'Ques 5'!$C$9)</f>
        <v>0</v>
      </c>
      <c r="E21" s="106">
        <f>SUMIFS(Data!$E$2:$E$400,Data!$C$2:$C$400,'Ques 5'!E$12,Data!$A$2:$A$400,'Ques 5'!$C21,Data!$B$2:$B$400,'Ques 5'!$C$9)</f>
        <v>0</v>
      </c>
      <c r="F21" s="106">
        <f>SUMIFS(Data!$E$2:$E$400,Data!$C$2:$C$400,'Ques 5'!F$12,Data!$A$2:$A$400,'Ques 5'!$C21,Data!$B$2:$B$400,'Ques 5'!$C$9)</f>
        <v>0</v>
      </c>
      <c r="G21" s="106">
        <f>SUMIFS(Data!$E$2:$E$400,Data!$C$2:$C$400,'Ques 5'!G$12,Data!$A$2:$A$400,'Ques 5'!$C21,Data!$B$2:$B$400,'Ques 5'!$C$9)</f>
        <v>0</v>
      </c>
      <c r="H21" s="106">
        <f>SUMIFS(Data!$E$2:$E$400,Data!$C$2:$C$400,'Ques 5'!H$12,Data!$A$2:$A$400,'Ques 5'!$C21,Data!$B$2:$B$400,'Ques 5'!$C$9)</f>
        <v>0</v>
      </c>
      <c r="I21" s="106">
        <f>SUMIFS(Data!$E$2:$E$400,Data!$C$2:$C$400,'Ques 5'!I$12,Data!$A$2:$A$400,'Ques 5'!$C21,Data!$B$2:$B$400,'Ques 5'!$C$9)</f>
        <v>0</v>
      </c>
      <c r="J21" s="106">
        <f>SUMIFS(Data!$E$2:$E$400,Data!$C$2:$C$400,'Ques 5'!J$12,Data!$A$2:$A$400,'Ques 5'!$C21,Data!$B$2:$B$400,'Ques 5'!$C$9)</f>
        <v>0</v>
      </c>
      <c r="K21" s="106">
        <f>SUMIFS(Data!$E$2:$E$400,Data!$C$2:$C$400,'Ques 5'!K$12,Data!$A$2:$A$400,'Ques 5'!$C21,Data!$B$2:$B$400,'Ques 5'!$C$9)</f>
        <v>0</v>
      </c>
      <c r="L21" s="106">
        <f>SUMIFS(Data!$E$2:$E$400,Data!$C$2:$C$400,'Ques 5'!L$12,Data!$A$2:$A$400,'Ques 5'!$C21,Data!$B$2:$B$400,'Ques 5'!$C$9)</f>
        <v>0</v>
      </c>
      <c r="M21" s="106">
        <f>SUMIFS(Data!$E$2:$E$400,Data!$C$2:$C$400,'Ques 5'!M$12,Data!$A$2:$A$400,'Ques 5'!$C21,Data!$B$2:$B$400,'Ques 5'!$C$9)</f>
        <v>0</v>
      </c>
      <c r="N21" s="106">
        <f>SUMIFS(Data!$E$2:$E$400,Data!$C$2:$C$400,'Ques 5'!N$12,Data!$A$2:$A$400,'Ques 5'!$C21,Data!$B$2:$B$400,'Ques 5'!$C$9)</f>
        <v>0</v>
      </c>
      <c r="O21" s="106">
        <f>SUMIFS(Data!$E$2:$E$400,Data!$C$2:$C$400,'Ques 5'!O$12,Data!$A$2:$A$400,'Ques 5'!$C21,Data!$B$2:$B$400,'Ques 5'!$C$9)</f>
        <v>0</v>
      </c>
      <c r="P21" s="106">
        <f t="shared" si="0"/>
        <v>0</v>
      </c>
    </row>
    <row r="22" spans="3:16" x14ac:dyDescent="0.2">
      <c r="C22" s="55" t="s">
        <v>68</v>
      </c>
      <c r="D22" s="106">
        <f>SUMIFS(Data!$E$2:$E$400,Data!$C$2:$C$400,'Ques 5'!D$12,Data!$A$2:$A$400,'Ques 5'!$C22,Data!$B$2:$B$400,'Ques 5'!$C$9)</f>
        <v>0</v>
      </c>
      <c r="E22" s="106">
        <f>SUMIFS(Data!$E$2:$E$400,Data!$C$2:$C$400,'Ques 5'!E$12,Data!$A$2:$A$400,'Ques 5'!$C22,Data!$B$2:$B$400,'Ques 5'!$C$9)</f>
        <v>0</v>
      </c>
      <c r="F22" s="106">
        <f>SUMIFS(Data!$E$2:$E$400,Data!$C$2:$C$400,'Ques 5'!F$12,Data!$A$2:$A$400,'Ques 5'!$C22,Data!$B$2:$B$400,'Ques 5'!$C$9)</f>
        <v>0</v>
      </c>
      <c r="G22" s="106">
        <f>SUMIFS(Data!$E$2:$E$400,Data!$C$2:$C$400,'Ques 5'!G$12,Data!$A$2:$A$400,'Ques 5'!$C22,Data!$B$2:$B$400,'Ques 5'!$C$9)</f>
        <v>0</v>
      </c>
      <c r="H22" s="106">
        <f>SUMIFS(Data!$E$2:$E$400,Data!$C$2:$C$400,'Ques 5'!H$12,Data!$A$2:$A$400,'Ques 5'!$C22,Data!$B$2:$B$400,'Ques 5'!$C$9)</f>
        <v>0</v>
      </c>
      <c r="I22" s="106">
        <f>SUMIFS(Data!$E$2:$E$400,Data!$C$2:$C$400,'Ques 5'!I$12,Data!$A$2:$A$400,'Ques 5'!$C22,Data!$B$2:$B$400,'Ques 5'!$C$9)</f>
        <v>2390</v>
      </c>
      <c r="J22" s="106">
        <f>SUMIFS(Data!$E$2:$E$400,Data!$C$2:$C$400,'Ques 5'!J$12,Data!$A$2:$A$400,'Ques 5'!$C22,Data!$B$2:$B$400,'Ques 5'!$C$9)</f>
        <v>0</v>
      </c>
      <c r="K22" s="106">
        <f>SUMIFS(Data!$E$2:$E$400,Data!$C$2:$C$400,'Ques 5'!K$12,Data!$A$2:$A$400,'Ques 5'!$C22,Data!$B$2:$B$400,'Ques 5'!$C$9)</f>
        <v>0</v>
      </c>
      <c r="L22" s="106">
        <f>SUMIFS(Data!$E$2:$E$400,Data!$C$2:$C$400,'Ques 5'!L$12,Data!$A$2:$A$400,'Ques 5'!$C22,Data!$B$2:$B$400,'Ques 5'!$C$9)</f>
        <v>0</v>
      </c>
      <c r="M22" s="106">
        <f>SUMIFS(Data!$E$2:$E$400,Data!$C$2:$C$400,'Ques 5'!M$12,Data!$A$2:$A$400,'Ques 5'!$C22,Data!$B$2:$B$400,'Ques 5'!$C$9)</f>
        <v>0</v>
      </c>
      <c r="N22" s="106">
        <f>SUMIFS(Data!$E$2:$E$400,Data!$C$2:$C$400,'Ques 5'!N$12,Data!$A$2:$A$400,'Ques 5'!$C22,Data!$B$2:$B$400,'Ques 5'!$C$9)</f>
        <v>0</v>
      </c>
      <c r="O22" s="106">
        <f>SUMIFS(Data!$E$2:$E$400,Data!$C$2:$C$400,'Ques 5'!O$12,Data!$A$2:$A$400,'Ques 5'!$C22,Data!$B$2:$B$400,'Ques 5'!$C$9)</f>
        <v>0</v>
      </c>
      <c r="P22" s="106">
        <f t="shared" si="0"/>
        <v>2390</v>
      </c>
    </row>
    <row r="23" spans="3:16" x14ac:dyDescent="0.2">
      <c r="C23" s="55" t="s">
        <v>69</v>
      </c>
      <c r="D23" s="106">
        <f>SUMIFS(Data!$E$2:$E$400,Data!$C$2:$C$400,'Ques 5'!D$12,Data!$A$2:$A$400,'Ques 5'!$C23,Data!$B$2:$B$400,'Ques 5'!$C$9)</f>
        <v>0</v>
      </c>
      <c r="E23" s="106">
        <f>SUMIFS(Data!$E$2:$E$400,Data!$C$2:$C$400,'Ques 5'!E$12,Data!$A$2:$A$400,'Ques 5'!$C23,Data!$B$2:$B$400,'Ques 5'!$C$9)</f>
        <v>0</v>
      </c>
      <c r="F23" s="106">
        <f>SUMIFS(Data!$E$2:$E$400,Data!$C$2:$C$400,'Ques 5'!F$12,Data!$A$2:$A$400,'Ques 5'!$C23,Data!$B$2:$B$400,'Ques 5'!$C$9)</f>
        <v>0</v>
      </c>
      <c r="G23" s="106">
        <f>SUMIFS(Data!$E$2:$E$400,Data!$C$2:$C$400,'Ques 5'!G$12,Data!$A$2:$A$400,'Ques 5'!$C23,Data!$B$2:$B$400,'Ques 5'!$C$9)</f>
        <v>0</v>
      </c>
      <c r="H23" s="106">
        <f>SUMIFS(Data!$E$2:$E$400,Data!$C$2:$C$400,'Ques 5'!H$12,Data!$A$2:$A$400,'Ques 5'!$C23,Data!$B$2:$B$400,'Ques 5'!$C$9)</f>
        <v>0</v>
      </c>
      <c r="I23" s="106">
        <f>SUMIFS(Data!$E$2:$E$400,Data!$C$2:$C$400,'Ques 5'!I$12,Data!$A$2:$A$400,'Ques 5'!$C23,Data!$B$2:$B$400,'Ques 5'!$C$9)</f>
        <v>0</v>
      </c>
      <c r="J23" s="106">
        <f>SUMIFS(Data!$E$2:$E$400,Data!$C$2:$C$400,'Ques 5'!J$12,Data!$A$2:$A$400,'Ques 5'!$C23,Data!$B$2:$B$400,'Ques 5'!$C$9)</f>
        <v>0</v>
      </c>
      <c r="K23" s="106">
        <f>SUMIFS(Data!$E$2:$E$400,Data!$C$2:$C$400,'Ques 5'!K$12,Data!$A$2:$A$400,'Ques 5'!$C23,Data!$B$2:$B$400,'Ques 5'!$C$9)</f>
        <v>0</v>
      </c>
      <c r="L23" s="106">
        <f>SUMIFS(Data!$E$2:$E$400,Data!$C$2:$C$400,'Ques 5'!L$12,Data!$A$2:$A$400,'Ques 5'!$C23,Data!$B$2:$B$400,'Ques 5'!$C$9)</f>
        <v>0</v>
      </c>
      <c r="M23" s="106">
        <f>SUMIFS(Data!$E$2:$E$400,Data!$C$2:$C$400,'Ques 5'!M$12,Data!$A$2:$A$400,'Ques 5'!$C23,Data!$B$2:$B$400,'Ques 5'!$C$9)</f>
        <v>0</v>
      </c>
      <c r="N23" s="106">
        <f>SUMIFS(Data!$E$2:$E$400,Data!$C$2:$C$400,'Ques 5'!N$12,Data!$A$2:$A$400,'Ques 5'!$C23,Data!$B$2:$B$400,'Ques 5'!$C$9)</f>
        <v>0</v>
      </c>
      <c r="O23" s="106">
        <f>SUMIFS(Data!$E$2:$E$400,Data!$C$2:$C$400,'Ques 5'!O$12,Data!$A$2:$A$400,'Ques 5'!$C23,Data!$B$2:$B$400,'Ques 5'!$C$9)</f>
        <v>0</v>
      </c>
      <c r="P23" s="106">
        <f t="shared" si="0"/>
        <v>0</v>
      </c>
    </row>
    <row r="24" spans="3:16" x14ac:dyDescent="0.2">
      <c r="C24" s="55" t="s">
        <v>70</v>
      </c>
      <c r="D24" s="106">
        <f>SUMIFS(Data!$E$2:$E$400,Data!$C$2:$C$400,'Ques 5'!D$12,Data!$A$2:$A$400,'Ques 5'!$C24,Data!$B$2:$B$400,'Ques 5'!$C$9)</f>
        <v>0</v>
      </c>
      <c r="E24" s="106">
        <f>SUMIFS(Data!$E$2:$E$400,Data!$C$2:$C$400,'Ques 5'!E$12,Data!$A$2:$A$400,'Ques 5'!$C24,Data!$B$2:$B$400,'Ques 5'!$C$9)</f>
        <v>0</v>
      </c>
      <c r="F24" s="106">
        <f>SUMIFS(Data!$E$2:$E$400,Data!$C$2:$C$400,'Ques 5'!F$12,Data!$A$2:$A$400,'Ques 5'!$C24,Data!$B$2:$B$400,'Ques 5'!$C$9)</f>
        <v>0</v>
      </c>
      <c r="G24" s="106">
        <f>SUMIFS(Data!$E$2:$E$400,Data!$C$2:$C$400,'Ques 5'!G$12,Data!$A$2:$A$400,'Ques 5'!$C24,Data!$B$2:$B$400,'Ques 5'!$C$9)</f>
        <v>0</v>
      </c>
      <c r="H24" s="106">
        <f>SUMIFS(Data!$E$2:$E$400,Data!$C$2:$C$400,'Ques 5'!H$12,Data!$A$2:$A$400,'Ques 5'!$C24,Data!$B$2:$B$400,'Ques 5'!$C$9)</f>
        <v>0</v>
      </c>
      <c r="I24" s="106">
        <f>SUMIFS(Data!$E$2:$E$400,Data!$C$2:$C$400,'Ques 5'!I$12,Data!$A$2:$A$400,'Ques 5'!$C24,Data!$B$2:$B$400,'Ques 5'!$C$9)</f>
        <v>0</v>
      </c>
      <c r="J24" s="106">
        <f>SUMIFS(Data!$E$2:$E$400,Data!$C$2:$C$400,'Ques 5'!J$12,Data!$A$2:$A$400,'Ques 5'!$C24,Data!$B$2:$B$400,'Ques 5'!$C$9)</f>
        <v>0</v>
      </c>
      <c r="K24" s="106">
        <f>SUMIFS(Data!$E$2:$E$400,Data!$C$2:$C$400,'Ques 5'!K$12,Data!$A$2:$A$400,'Ques 5'!$C24,Data!$B$2:$B$400,'Ques 5'!$C$9)</f>
        <v>0</v>
      </c>
      <c r="L24" s="106">
        <f>SUMIFS(Data!$E$2:$E$400,Data!$C$2:$C$400,'Ques 5'!L$12,Data!$A$2:$A$400,'Ques 5'!$C24,Data!$B$2:$B$400,'Ques 5'!$C$9)</f>
        <v>0</v>
      </c>
      <c r="M24" s="106">
        <f>SUMIFS(Data!$E$2:$E$400,Data!$C$2:$C$400,'Ques 5'!M$12,Data!$A$2:$A$400,'Ques 5'!$C24,Data!$B$2:$B$400,'Ques 5'!$C$9)</f>
        <v>0</v>
      </c>
      <c r="N24" s="106">
        <f>SUMIFS(Data!$E$2:$E$400,Data!$C$2:$C$400,'Ques 5'!N$12,Data!$A$2:$A$400,'Ques 5'!$C24,Data!$B$2:$B$400,'Ques 5'!$C$9)</f>
        <v>0</v>
      </c>
      <c r="O24" s="106">
        <f>SUMIFS(Data!$E$2:$E$400,Data!$C$2:$C$400,'Ques 5'!O$12,Data!$A$2:$A$400,'Ques 5'!$C24,Data!$B$2:$B$400,'Ques 5'!$C$9)</f>
        <v>0</v>
      </c>
      <c r="P24" s="106">
        <f t="shared" si="0"/>
        <v>0</v>
      </c>
    </row>
    <row r="25" spans="3:16" x14ac:dyDescent="0.2">
      <c r="C25" s="55" t="s">
        <v>71</v>
      </c>
      <c r="D25" s="106">
        <f>SUMIFS(Data!$E$2:$E$400,Data!$C$2:$C$400,'Ques 5'!D$12,Data!$A$2:$A$400,'Ques 5'!$C25,Data!$B$2:$B$400,'Ques 5'!$C$9)</f>
        <v>0</v>
      </c>
      <c r="E25" s="106">
        <f>SUMIFS(Data!$E$2:$E$400,Data!$C$2:$C$400,'Ques 5'!E$12,Data!$A$2:$A$400,'Ques 5'!$C25,Data!$B$2:$B$400,'Ques 5'!$C$9)</f>
        <v>0</v>
      </c>
      <c r="F25" s="106">
        <f>SUMIFS(Data!$E$2:$E$400,Data!$C$2:$C$400,'Ques 5'!F$12,Data!$A$2:$A$400,'Ques 5'!$C25,Data!$B$2:$B$400,'Ques 5'!$C$9)</f>
        <v>0</v>
      </c>
      <c r="G25" s="106">
        <f>SUMIFS(Data!$E$2:$E$400,Data!$C$2:$C$400,'Ques 5'!G$12,Data!$A$2:$A$400,'Ques 5'!$C25,Data!$B$2:$B$400,'Ques 5'!$C$9)</f>
        <v>0</v>
      </c>
      <c r="H25" s="106">
        <f>SUMIFS(Data!$E$2:$E$400,Data!$C$2:$C$400,'Ques 5'!H$12,Data!$A$2:$A$400,'Ques 5'!$C25,Data!$B$2:$B$400,'Ques 5'!$C$9)</f>
        <v>0</v>
      </c>
      <c r="I25" s="106">
        <f>SUMIFS(Data!$E$2:$E$400,Data!$C$2:$C$400,'Ques 5'!I$12,Data!$A$2:$A$400,'Ques 5'!$C25,Data!$B$2:$B$400,'Ques 5'!$C$9)</f>
        <v>0</v>
      </c>
      <c r="J25" s="106">
        <f>SUMIFS(Data!$E$2:$E$400,Data!$C$2:$C$400,'Ques 5'!J$12,Data!$A$2:$A$400,'Ques 5'!$C25,Data!$B$2:$B$400,'Ques 5'!$C$9)</f>
        <v>0</v>
      </c>
      <c r="K25" s="106">
        <f>SUMIFS(Data!$E$2:$E$400,Data!$C$2:$C$400,'Ques 5'!K$12,Data!$A$2:$A$400,'Ques 5'!$C25,Data!$B$2:$B$400,'Ques 5'!$C$9)</f>
        <v>0</v>
      </c>
      <c r="L25" s="106">
        <f>SUMIFS(Data!$E$2:$E$400,Data!$C$2:$C$400,'Ques 5'!L$12,Data!$A$2:$A$400,'Ques 5'!$C25,Data!$B$2:$B$400,'Ques 5'!$C$9)</f>
        <v>0</v>
      </c>
      <c r="M25" s="106">
        <f>SUMIFS(Data!$E$2:$E$400,Data!$C$2:$C$400,'Ques 5'!M$12,Data!$A$2:$A$400,'Ques 5'!$C25,Data!$B$2:$B$400,'Ques 5'!$C$9)</f>
        <v>0</v>
      </c>
      <c r="N25" s="106">
        <f>SUMIFS(Data!$E$2:$E$400,Data!$C$2:$C$400,'Ques 5'!N$12,Data!$A$2:$A$400,'Ques 5'!$C25,Data!$B$2:$B$400,'Ques 5'!$C$9)</f>
        <v>0</v>
      </c>
      <c r="O25" s="106">
        <f>SUMIFS(Data!$E$2:$E$400,Data!$C$2:$C$400,'Ques 5'!O$12,Data!$A$2:$A$400,'Ques 5'!$C25,Data!$B$2:$B$400,'Ques 5'!$C$9)</f>
        <v>0</v>
      </c>
      <c r="P25" s="106">
        <f t="shared" si="0"/>
        <v>0</v>
      </c>
    </row>
    <row r="26" spans="3:16" x14ac:dyDescent="0.2">
      <c r="C26" s="55" t="s">
        <v>72</v>
      </c>
      <c r="D26" s="106">
        <f>SUMIFS(Data!$E$2:$E$400,Data!$C$2:$C$400,'Ques 5'!D$12,Data!$A$2:$A$400,'Ques 5'!$C26,Data!$B$2:$B$400,'Ques 5'!$C$9)</f>
        <v>6919.67</v>
      </c>
      <c r="E26" s="106">
        <f>SUMIFS(Data!$E$2:$E$400,Data!$C$2:$C$400,'Ques 5'!E$12,Data!$A$2:$A$400,'Ques 5'!$C26,Data!$B$2:$B$400,'Ques 5'!$C$9)</f>
        <v>0</v>
      </c>
      <c r="F26" s="106">
        <f>SUMIFS(Data!$E$2:$E$400,Data!$C$2:$C$400,'Ques 5'!F$12,Data!$A$2:$A$400,'Ques 5'!$C26,Data!$B$2:$B$400,'Ques 5'!$C$9)</f>
        <v>0</v>
      </c>
      <c r="G26" s="106">
        <f>SUMIFS(Data!$E$2:$E$400,Data!$C$2:$C$400,'Ques 5'!G$12,Data!$A$2:$A$400,'Ques 5'!$C26,Data!$B$2:$B$400,'Ques 5'!$C$9)</f>
        <v>0</v>
      </c>
      <c r="H26" s="106">
        <f>SUMIFS(Data!$E$2:$E$400,Data!$C$2:$C$400,'Ques 5'!H$12,Data!$A$2:$A$400,'Ques 5'!$C26,Data!$B$2:$B$400,'Ques 5'!$C$9)</f>
        <v>0</v>
      </c>
      <c r="I26" s="106">
        <f>SUMIFS(Data!$E$2:$E$400,Data!$C$2:$C$400,'Ques 5'!I$12,Data!$A$2:$A$400,'Ques 5'!$C26,Data!$B$2:$B$400,'Ques 5'!$C$9)</f>
        <v>0</v>
      </c>
      <c r="J26" s="106">
        <f>SUMIFS(Data!$E$2:$E$400,Data!$C$2:$C$400,'Ques 5'!J$12,Data!$A$2:$A$400,'Ques 5'!$C26,Data!$B$2:$B$400,'Ques 5'!$C$9)</f>
        <v>0</v>
      </c>
      <c r="K26" s="106">
        <f>SUMIFS(Data!$E$2:$E$400,Data!$C$2:$C$400,'Ques 5'!K$12,Data!$A$2:$A$400,'Ques 5'!$C26,Data!$B$2:$B$400,'Ques 5'!$C$9)</f>
        <v>0</v>
      </c>
      <c r="L26" s="106">
        <f>SUMIFS(Data!$E$2:$E$400,Data!$C$2:$C$400,'Ques 5'!L$12,Data!$A$2:$A$400,'Ques 5'!$C26,Data!$B$2:$B$400,'Ques 5'!$C$9)</f>
        <v>0</v>
      </c>
      <c r="M26" s="106">
        <f>SUMIFS(Data!$E$2:$E$400,Data!$C$2:$C$400,'Ques 5'!M$12,Data!$A$2:$A$400,'Ques 5'!$C26,Data!$B$2:$B$400,'Ques 5'!$C$9)</f>
        <v>0</v>
      </c>
      <c r="N26" s="106">
        <f>SUMIFS(Data!$E$2:$E$400,Data!$C$2:$C$400,'Ques 5'!N$12,Data!$A$2:$A$400,'Ques 5'!$C26,Data!$B$2:$B$400,'Ques 5'!$C$9)</f>
        <v>0</v>
      </c>
      <c r="O26" s="106">
        <f>SUMIFS(Data!$E$2:$E$400,Data!$C$2:$C$400,'Ques 5'!O$12,Data!$A$2:$A$400,'Ques 5'!$C26,Data!$B$2:$B$400,'Ques 5'!$C$9)</f>
        <v>0</v>
      </c>
      <c r="P26" s="106">
        <f t="shared" si="0"/>
        <v>6919.67</v>
      </c>
    </row>
    <row r="27" spans="3:16" x14ac:dyDescent="0.2">
      <c r="C27" s="55" t="s">
        <v>73</v>
      </c>
      <c r="D27" s="106">
        <f>SUMIFS(Data!$E$2:$E$400,Data!$C$2:$C$400,'Ques 5'!D$12,Data!$A$2:$A$400,'Ques 5'!$C27,Data!$B$2:$B$400,'Ques 5'!$C$9)</f>
        <v>0</v>
      </c>
      <c r="E27" s="106">
        <f>SUMIFS(Data!$E$2:$E$400,Data!$C$2:$C$400,'Ques 5'!E$12,Data!$A$2:$A$400,'Ques 5'!$C27,Data!$B$2:$B$400,'Ques 5'!$C$9)</f>
        <v>0</v>
      </c>
      <c r="F27" s="106">
        <f>SUMIFS(Data!$E$2:$E$400,Data!$C$2:$C$400,'Ques 5'!F$12,Data!$A$2:$A$400,'Ques 5'!$C27,Data!$B$2:$B$400,'Ques 5'!$C$9)</f>
        <v>0</v>
      </c>
      <c r="G27" s="106">
        <f>SUMIFS(Data!$E$2:$E$400,Data!$C$2:$C$400,'Ques 5'!G$12,Data!$A$2:$A$400,'Ques 5'!$C27,Data!$B$2:$B$400,'Ques 5'!$C$9)</f>
        <v>0</v>
      </c>
      <c r="H27" s="106">
        <f>SUMIFS(Data!$E$2:$E$400,Data!$C$2:$C$400,'Ques 5'!H$12,Data!$A$2:$A$400,'Ques 5'!$C27,Data!$B$2:$B$400,'Ques 5'!$C$9)</f>
        <v>0</v>
      </c>
      <c r="I27" s="106">
        <f>SUMIFS(Data!$E$2:$E$400,Data!$C$2:$C$400,'Ques 5'!I$12,Data!$A$2:$A$400,'Ques 5'!$C27,Data!$B$2:$B$400,'Ques 5'!$C$9)</f>
        <v>0</v>
      </c>
      <c r="J27" s="106">
        <f>SUMIFS(Data!$E$2:$E$400,Data!$C$2:$C$400,'Ques 5'!J$12,Data!$A$2:$A$400,'Ques 5'!$C27,Data!$B$2:$B$400,'Ques 5'!$C$9)</f>
        <v>0</v>
      </c>
      <c r="K27" s="106">
        <f>SUMIFS(Data!$E$2:$E$400,Data!$C$2:$C$400,'Ques 5'!K$12,Data!$A$2:$A$400,'Ques 5'!$C27,Data!$B$2:$B$400,'Ques 5'!$C$9)</f>
        <v>0</v>
      </c>
      <c r="L27" s="106">
        <f>SUMIFS(Data!$E$2:$E$400,Data!$C$2:$C$400,'Ques 5'!L$12,Data!$A$2:$A$400,'Ques 5'!$C27,Data!$B$2:$B$400,'Ques 5'!$C$9)</f>
        <v>0</v>
      </c>
      <c r="M27" s="106">
        <f>SUMIFS(Data!$E$2:$E$400,Data!$C$2:$C$400,'Ques 5'!M$12,Data!$A$2:$A$400,'Ques 5'!$C27,Data!$B$2:$B$400,'Ques 5'!$C$9)</f>
        <v>0</v>
      </c>
      <c r="N27" s="106">
        <f>SUMIFS(Data!$E$2:$E$400,Data!$C$2:$C$400,'Ques 5'!N$12,Data!$A$2:$A$400,'Ques 5'!$C27,Data!$B$2:$B$400,'Ques 5'!$C$9)</f>
        <v>0</v>
      </c>
      <c r="O27" s="106">
        <f>SUMIFS(Data!$E$2:$E$400,Data!$C$2:$C$400,'Ques 5'!O$12,Data!$A$2:$A$400,'Ques 5'!$C27,Data!$B$2:$B$400,'Ques 5'!$C$9)</f>
        <v>0</v>
      </c>
      <c r="P27" s="106">
        <f t="shared" si="0"/>
        <v>0</v>
      </c>
    </row>
    <row r="28" spans="3:16" ht="16" thickBot="1" x14ac:dyDescent="0.25">
      <c r="C28" s="56" t="s">
        <v>74</v>
      </c>
      <c r="D28" s="106">
        <f>SUMIFS(Data!$E$2:$E$400,Data!$C$2:$C$400,'Ques 5'!D$12,Data!$A$2:$A$400,'Ques 5'!$C28,Data!$B$2:$B$400,'Ques 5'!$C$9)</f>
        <v>8020</v>
      </c>
      <c r="E28" s="106">
        <f>SUMIFS(Data!$E$2:$E$400,Data!$C$2:$C$400,'Ques 5'!E$12,Data!$A$2:$A$400,'Ques 5'!$C28,Data!$B$2:$B$400,'Ques 5'!$C$9)</f>
        <v>0</v>
      </c>
      <c r="F28" s="106">
        <f>SUMIFS(Data!$E$2:$E$400,Data!$C$2:$C$400,'Ques 5'!F$12,Data!$A$2:$A$400,'Ques 5'!$C28,Data!$B$2:$B$400,'Ques 5'!$C$9)</f>
        <v>0</v>
      </c>
      <c r="G28" s="106">
        <f>SUMIFS(Data!$E$2:$E$400,Data!$C$2:$C$400,'Ques 5'!G$12,Data!$A$2:$A$400,'Ques 5'!$C28,Data!$B$2:$B$400,'Ques 5'!$C$9)</f>
        <v>8301.6899999999987</v>
      </c>
      <c r="H28" s="106">
        <f>SUMIFS(Data!$E$2:$E$400,Data!$C$2:$C$400,'Ques 5'!H$12,Data!$A$2:$A$400,'Ques 5'!$C28,Data!$B$2:$B$400,'Ques 5'!$C$9)</f>
        <v>25614.36</v>
      </c>
      <c r="I28" s="106">
        <f>SUMIFS(Data!$E$2:$E$400,Data!$C$2:$C$400,'Ques 5'!I$12,Data!$A$2:$A$400,'Ques 5'!$C28,Data!$B$2:$B$400,'Ques 5'!$C$9)</f>
        <v>2008</v>
      </c>
      <c r="J28" s="106">
        <f>SUMIFS(Data!$E$2:$E$400,Data!$C$2:$C$400,'Ques 5'!J$12,Data!$A$2:$A$400,'Ques 5'!$C28,Data!$B$2:$B$400,'Ques 5'!$C$9)</f>
        <v>0</v>
      </c>
      <c r="K28" s="106">
        <f>SUMIFS(Data!$E$2:$E$400,Data!$C$2:$C$400,'Ques 5'!K$12,Data!$A$2:$A$400,'Ques 5'!$C28,Data!$B$2:$B$400,'Ques 5'!$C$9)</f>
        <v>0</v>
      </c>
      <c r="L28" s="106">
        <f>SUMIFS(Data!$E$2:$E$400,Data!$C$2:$C$400,'Ques 5'!L$12,Data!$A$2:$A$400,'Ques 5'!$C28,Data!$B$2:$B$400,'Ques 5'!$C$9)</f>
        <v>0</v>
      </c>
      <c r="M28" s="106">
        <f>SUMIFS(Data!$E$2:$E$400,Data!$C$2:$C$400,'Ques 5'!M$12,Data!$A$2:$A$400,'Ques 5'!$C28,Data!$B$2:$B$400,'Ques 5'!$C$9)</f>
        <v>0</v>
      </c>
      <c r="N28" s="106">
        <f>SUMIFS(Data!$E$2:$E$400,Data!$C$2:$C$400,'Ques 5'!N$12,Data!$A$2:$A$400,'Ques 5'!$C28,Data!$B$2:$B$400,'Ques 5'!$C$9)</f>
        <v>0</v>
      </c>
      <c r="O28" s="106">
        <f>SUMIFS(Data!$E$2:$E$400,Data!$C$2:$C$400,'Ques 5'!O$12,Data!$A$2:$A$400,'Ques 5'!$C28,Data!$B$2:$B$400,'Ques 5'!$C$9)</f>
        <v>0</v>
      </c>
      <c r="P28" s="106">
        <f t="shared" si="0"/>
        <v>43944.05</v>
      </c>
    </row>
  </sheetData>
  <pageMargins left="0.7" right="0.7" top="0.75" bottom="0.75" header="0.3" footer="0.3"/>
  <pageSetup orientation="portrait" r:id="rId1"/>
  <headerFooter>
    <oddFooter>&amp;L9/7/2017&amp;CAXP Internal&amp;R6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N27"/>
  <sheetViews>
    <sheetView showGridLines="0" workbookViewId="0"/>
  </sheetViews>
  <sheetFormatPr baseColWidth="10" defaultColWidth="8.83203125" defaultRowHeight="15" x14ac:dyDescent="0.2"/>
  <cols>
    <col min="5" max="5" width="15.6640625" customWidth="1"/>
    <col min="7" max="7" width="16.6640625" customWidth="1"/>
    <col min="9" max="9" width="11.6640625" customWidth="1"/>
    <col min="10" max="10" width="9.5" customWidth="1"/>
  </cols>
  <sheetData>
    <row r="2" spans="2:13" ht="23" x14ac:dyDescent="0.2">
      <c r="B2" s="61" t="s">
        <v>111</v>
      </c>
      <c r="C2" s="60"/>
    </row>
    <row r="3" spans="2:13" x14ac:dyDescent="0.2">
      <c r="D3" t="s">
        <v>102</v>
      </c>
      <c r="L3" s="54" t="s">
        <v>114</v>
      </c>
      <c r="M3">
        <v>2</v>
      </c>
    </row>
    <row r="5" spans="2:13" x14ac:dyDescent="0.2">
      <c r="E5" s="93" t="s">
        <v>158</v>
      </c>
    </row>
    <row r="6" spans="2:13" x14ac:dyDescent="0.2">
      <c r="E6" t="s">
        <v>158</v>
      </c>
    </row>
    <row r="7" spans="2:13" x14ac:dyDescent="0.2">
      <c r="E7" t="s">
        <v>159</v>
      </c>
    </row>
    <row r="8" spans="2:13" x14ac:dyDescent="0.2">
      <c r="E8" t="s">
        <v>160</v>
      </c>
    </row>
    <row r="9" spans="2:13" x14ac:dyDescent="0.2">
      <c r="E9" t="s">
        <v>161</v>
      </c>
    </row>
    <row r="10" spans="2:13" x14ac:dyDescent="0.2">
      <c r="E10" t="s">
        <v>162</v>
      </c>
    </row>
    <row r="11" spans="2:13" x14ac:dyDescent="0.2">
      <c r="E11" t="s">
        <v>163</v>
      </c>
    </row>
    <row r="12" spans="2:13" x14ac:dyDescent="0.2">
      <c r="E12" t="s">
        <v>164</v>
      </c>
    </row>
    <row r="13" spans="2:13" x14ac:dyDescent="0.2">
      <c r="E13" t="s">
        <v>165</v>
      </c>
    </row>
    <row r="14" spans="2:13" x14ac:dyDescent="0.2">
      <c r="E14" t="s">
        <v>166</v>
      </c>
    </row>
    <row r="15" spans="2:13" x14ac:dyDescent="0.2">
      <c r="E15" t="s">
        <v>167</v>
      </c>
    </row>
    <row r="16" spans="2:13" x14ac:dyDescent="0.2">
      <c r="E16" t="s">
        <v>168</v>
      </c>
    </row>
    <row r="17" spans="4:14" x14ac:dyDescent="0.2">
      <c r="E17" t="s">
        <v>169</v>
      </c>
    </row>
    <row r="19" spans="4:14" x14ac:dyDescent="0.2">
      <c r="D19" t="s">
        <v>170</v>
      </c>
      <c r="L19" s="54" t="s">
        <v>118</v>
      </c>
      <c r="N19">
        <v>2</v>
      </c>
    </row>
    <row r="20" spans="4:14" x14ac:dyDescent="0.2">
      <c r="D20" t="s">
        <v>113</v>
      </c>
    </row>
    <row r="21" spans="4:14" x14ac:dyDescent="0.2">
      <c r="E21" t="s">
        <v>175</v>
      </c>
      <c r="G21" t="s">
        <v>110</v>
      </c>
    </row>
    <row r="22" spans="4:14" x14ac:dyDescent="0.2">
      <c r="E22" t="s">
        <v>104</v>
      </c>
      <c r="G22" t="s">
        <v>108</v>
      </c>
    </row>
    <row r="23" spans="4:14" x14ac:dyDescent="0.2">
      <c r="E23" t="s">
        <v>104</v>
      </c>
      <c r="G23" t="s">
        <v>108</v>
      </c>
    </row>
    <row r="24" spans="4:14" ht="15" customHeight="1" x14ac:dyDescent="0.2">
      <c r="E24" t="s">
        <v>104</v>
      </c>
      <c r="G24" t="s">
        <v>109</v>
      </c>
      <c r="K24" t="s">
        <v>104</v>
      </c>
      <c r="M24" t="s">
        <v>108</v>
      </c>
    </row>
    <row r="25" spans="4:14" x14ac:dyDescent="0.2">
      <c r="D25" s="73"/>
      <c r="E25" s="73" t="s">
        <v>105</v>
      </c>
      <c r="F25" s="73"/>
      <c r="G25" s="73" t="s">
        <v>106</v>
      </c>
      <c r="H25" s="73"/>
      <c r="I25" s="73"/>
      <c r="M25" t="s">
        <v>109</v>
      </c>
    </row>
    <row r="26" spans="4:14" x14ac:dyDescent="0.2">
      <c r="E26" s="73" t="s">
        <v>105</v>
      </c>
      <c r="G26" s="83" t="s">
        <v>107</v>
      </c>
      <c r="K26" t="s">
        <v>105</v>
      </c>
      <c r="M26" t="s">
        <v>106</v>
      </c>
    </row>
    <row r="27" spans="4:14" x14ac:dyDescent="0.2">
      <c r="M27" t="s">
        <v>107</v>
      </c>
    </row>
  </sheetData>
  <dataValidations count="3">
    <dataValidation type="list" allowBlank="1" showInputMessage="1" showErrorMessage="1" sqref="E5" xr:uid="{00000000-0002-0000-0600-000000000000}">
      <formula1>$E$6:$E$17</formula1>
    </dataValidation>
    <dataValidation type="list" showInputMessage="1" showErrorMessage="1" sqref="E22" xr:uid="{00000000-0002-0000-0600-000001000000}">
      <formula1>$E$23:$E$24</formula1>
    </dataValidation>
    <dataValidation type="list" allowBlank="1" showInputMessage="1" showErrorMessage="1" sqref="G22" xr:uid="{00000000-0002-0000-0600-000002000000}">
      <formula1>$G$23:$G$24</formula1>
    </dataValidation>
  </dataValidations>
  <pageMargins left="0.7" right="0.7" top="0.75" bottom="0.75" header="0.3" footer="0.3"/>
  <pageSetup orientation="portrait" r:id="rId1"/>
  <headerFooter>
    <oddFooter>&amp;L9/7/2017&amp;CAXP Internal&amp;R7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N70"/>
  <sheetViews>
    <sheetView showGridLines="0" workbookViewId="0"/>
  </sheetViews>
  <sheetFormatPr baseColWidth="10" defaultColWidth="8.83203125" defaultRowHeight="15" x14ac:dyDescent="0.2"/>
  <cols>
    <col min="3" max="3" width="10.6640625" bestFit="1" customWidth="1"/>
    <col min="5" max="5" width="10.6640625" bestFit="1" customWidth="1"/>
    <col min="6" max="6" width="24.33203125" bestFit="1" customWidth="1"/>
    <col min="7" max="7" width="22.5" bestFit="1" customWidth="1"/>
    <col min="8" max="8" width="13.33203125" customWidth="1"/>
    <col min="9" max="9" width="13.5" customWidth="1"/>
  </cols>
  <sheetData>
    <row r="2" spans="2:14" ht="23" x14ac:dyDescent="0.2">
      <c r="B2" s="61" t="s">
        <v>112</v>
      </c>
    </row>
    <row r="3" spans="2:14" x14ac:dyDescent="0.2">
      <c r="C3" t="s">
        <v>119</v>
      </c>
      <c r="M3" s="64" t="s">
        <v>114</v>
      </c>
      <c r="N3">
        <v>2</v>
      </c>
    </row>
    <row r="4" spans="2:14" ht="16" thickBot="1" x14ac:dyDescent="0.25">
      <c r="F4" t="s">
        <v>141</v>
      </c>
      <c r="G4" s="65" t="s">
        <v>77</v>
      </c>
      <c r="H4" s="65" t="s">
        <v>91</v>
      </c>
      <c r="I4" t="s">
        <v>143</v>
      </c>
    </row>
    <row r="5" spans="2:14" ht="16" thickBot="1" x14ac:dyDescent="0.25">
      <c r="C5" s="76">
        <v>40830</v>
      </c>
      <c r="E5" s="45"/>
      <c r="F5" s="77">
        <f>DAY(C5)</f>
        <v>14</v>
      </c>
      <c r="G5" s="77">
        <f>MONTH(C5)</f>
        <v>10</v>
      </c>
      <c r="H5" s="77">
        <f>YEAR(C5)</f>
        <v>2011</v>
      </c>
      <c r="I5" s="77">
        <f>WEEKNUM(C5)</f>
        <v>42</v>
      </c>
      <c r="J5" s="78"/>
    </row>
    <row r="10" spans="2:14" x14ac:dyDescent="0.2">
      <c r="C10" t="s">
        <v>150</v>
      </c>
    </row>
    <row r="11" spans="2:14" x14ac:dyDescent="0.2">
      <c r="F11" s="72" t="s">
        <v>156</v>
      </c>
      <c r="H11" s="72" t="s">
        <v>157</v>
      </c>
    </row>
    <row r="12" spans="2:14" x14ac:dyDescent="0.2">
      <c r="C12" s="40">
        <v>40544</v>
      </c>
      <c r="F12" s="77">
        <f>WEEKDAY(C12)</f>
        <v>7</v>
      </c>
      <c r="H12" s="82">
        <f>WEEKDAY(C12,1)</f>
        <v>7</v>
      </c>
      <c r="M12" s="64" t="s">
        <v>114</v>
      </c>
      <c r="N12">
        <v>2</v>
      </c>
    </row>
    <row r="13" spans="2:14" x14ac:dyDescent="0.2">
      <c r="C13" s="40">
        <v>40545</v>
      </c>
      <c r="F13" s="77">
        <f t="shared" ref="F13:F70" si="0">WEEKDAY(C13)</f>
        <v>1</v>
      </c>
      <c r="H13" s="82">
        <f t="shared" ref="H13:H70" si="1">WEEKDAY(C13,1)</f>
        <v>1</v>
      </c>
    </row>
    <row r="14" spans="2:14" x14ac:dyDescent="0.2">
      <c r="C14" s="40">
        <v>40546</v>
      </c>
      <c r="F14" s="77">
        <f t="shared" si="0"/>
        <v>2</v>
      </c>
      <c r="H14" s="82">
        <f t="shared" si="1"/>
        <v>2</v>
      </c>
    </row>
    <row r="15" spans="2:14" x14ac:dyDescent="0.2">
      <c r="C15" s="40">
        <v>40547</v>
      </c>
      <c r="F15" s="77">
        <f t="shared" si="0"/>
        <v>3</v>
      </c>
      <c r="H15" s="82">
        <f t="shared" si="1"/>
        <v>3</v>
      </c>
    </row>
    <row r="16" spans="2:14" x14ac:dyDescent="0.2">
      <c r="C16" s="40">
        <v>40548</v>
      </c>
      <c r="F16" s="77">
        <f t="shared" si="0"/>
        <v>4</v>
      </c>
      <c r="H16" s="82">
        <f t="shared" si="1"/>
        <v>4</v>
      </c>
    </row>
    <row r="17" spans="3:8" x14ac:dyDescent="0.2">
      <c r="C17" s="40">
        <v>40549</v>
      </c>
      <c r="F17" s="77">
        <f t="shared" si="0"/>
        <v>5</v>
      </c>
      <c r="H17" s="82">
        <f t="shared" si="1"/>
        <v>5</v>
      </c>
    </row>
    <row r="18" spans="3:8" x14ac:dyDescent="0.2">
      <c r="C18" s="40">
        <v>40550</v>
      </c>
      <c r="F18" s="77">
        <f t="shared" si="0"/>
        <v>6</v>
      </c>
      <c r="H18" s="82">
        <f t="shared" si="1"/>
        <v>6</v>
      </c>
    </row>
    <row r="19" spans="3:8" x14ac:dyDescent="0.2">
      <c r="C19" s="40">
        <v>40551</v>
      </c>
      <c r="F19" s="77">
        <f t="shared" si="0"/>
        <v>7</v>
      </c>
      <c r="H19" s="82">
        <f t="shared" si="1"/>
        <v>7</v>
      </c>
    </row>
    <row r="20" spans="3:8" x14ac:dyDescent="0.2">
      <c r="C20" s="40">
        <v>40552</v>
      </c>
      <c r="F20" s="77">
        <f t="shared" si="0"/>
        <v>1</v>
      </c>
      <c r="H20" s="82">
        <f t="shared" si="1"/>
        <v>1</v>
      </c>
    </row>
    <row r="21" spans="3:8" x14ac:dyDescent="0.2">
      <c r="C21" s="40">
        <v>40553</v>
      </c>
      <c r="F21" s="77">
        <f t="shared" si="0"/>
        <v>2</v>
      </c>
      <c r="H21" s="82">
        <f t="shared" si="1"/>
        <v>2</v>
      </c>
    </row>
    <row r="22" spans="3:8" x14ac:dyDescent="0.2">
      <c r="C22" s="40">
        <v>40554</v>
      </c>
      <c r="F22" s="77">
        <f t="shared" si="0"/>
        <v>3</v>
      </c>
      <c r="H22" s="82">
        <f t="shared" si="1"/>
        <v>3</v>
      </c>
    </row>
    <row r="23" spans="3:8" x14ac:dyDescent="0.2">
      <c r="C23" s="40">
        <v>40555</v>
      </c>
      <c r="F23" s="77">
        <f t="shared" si="0"/>
        <v>4</v>
      </c>
      <c r="H23" s="82">
        <f t="shared" si="1"/>
        <v>4</v>
      </c>
    </row>
    <row r="24" spans="3:8" x14ac:dyDescent="0.2">
      <c r="C24" s="40">
        <v>40556</v>
      </c>
      <c r="F24" s="77">
        <f t="shared" si="0"/>
        <v>5</v>
      </c>
      <c r="H24" s="82">
        <f t="shared" si="1"/>
        <v>5</v>
      </c>
    </row>
    <row r="25" spans="3:8" x14ac:dyDescent="0.2">
      <c r="C25" s="40">
        <v>40557</v>
      </c>
      <c r="F25" s="77">
        <f t="shared" si="0"/>
        <v>6</v>
      </c>
      <c r="H25" s="82">
        <f t="shared" si="1"/>
        <v>6</v>
      </c>
    </row>
    <row r="26" spans="3:8" x14ac:dyDescent="0.2">
      <c r="C26" s="40">
        <v>40558</v>
      </c>
      <c r="F26" s="77">
        <f t="shared" si="0"/>
        <v>7</v>
      </c>
      <c r="H26" s="82">
        <f t="shared" si="1"/>
        <v>7</v>
      </c>
    </row>
    <row r="27" spans="3:8" x14ac:dyDescent="0.2">
      <c r="C27" s="40">
        <v>40559</v>
      </c>
      <c r="F27" s="77">
        <f t="shared" si="0"/>
        <v>1</v>
      </c>
      <c r="H27" s="82">
        <f t="shared" si="1"/>
        <v>1</v>
      </c>
    </row>
    <row r="28" spans="3:8" x14ac:dyDescent="0.2">
      <c r="C28" s="40">
        <v>40560</v>
      </c>
      <c r="F28" s="77">
        <f t="shared" si="0"/>
        <v>2</v>
      </c>
      <c r="H28" s="82">
        <f t="shared" si="1"/>
        <v>2</v>
      </c>
    </row>
    <row r="29" spans="3:8" x14ac:dyDescent="0.2">
      <c r="C29" s="40">
        <v>40561</v>
      </c>
      <c r="F29" s="77">
        <f t="shared" si="0"/>
        <v>3</v>
      </c>
      <c r="H29" s="82">
        <f t="shared" si="1"/>
        <v>3</v>
      </c>
    </row>
    <row r="30" spans="3:8" x14ac:dyDescent="0.2">
      <c r="C30" s="40">
        <v>40562</v>
      </c>
      <c r="F30" s="77">
        <f t="shared" si="0"/>
        <v>4</v>
      </c>
      <c r="H30" s="82">
        <f t="shared" si="1"/>
        <v>4</v>
      </c>
    </row>
    <row r="31" spans="3:8" x14ac:dyDescent="0.2">
      <c r="C31" s="40">
        <v>40563</v>
      </c>
      <c r="F31" s="77">
        <f t="shared" si="0"/>
        <v>5</v>
      </c>
      <c r="H31" s="82">
        <f t="shared" si="1"/>
        <v>5</v>
      </c>
    </row>
    <row r="32" spans="3:8" x14ac:dyDescent="0.2">
      <c r="C32" s="40">
        <v>40564</v>
      </c>
      <c r="F32" s="77">
        <f t="shared" si="0"/>
        <v>6</v>
      </c>
      <c r="H32" s="82">
        <f t="shared" si="1"/>
        <v>6</v>
      </c>
    </row>
    <row r="33" spans="3:8" x14ac:dyDescent="0.2">
      <c r="C33" s="40">
        <v>40565</v>
      </c>
      <c r="F33" s="77">
        <f t="shared" si="0"/>
        <v>7</v>
      </c>
      <c r="H33" s="82">
        <f t="shared" si="1"/>
        <v>7</v>
      </c>
    </row>
    <row r="34" spans="3:8" x14ac:dyDescent="0.2">
      <c r="C34" s="40">
        <v>40566</v>
      </c>
      <c r="F34" s="77">
        <f t="shared" si="0"/>
        <v>1</v>
      </c>
      <c r="H34" s="82">
        <f t="shared" si="1"/>
        <v>1</v>
      </c>
    </row>
    <row r="35" spans="3:8" x14ac:dyDescent="0.2">
      <c r="C35" s="40">
        <v>40567</v>
      </c>
      <c r="F35" s="77">
        <f t="shared" si="0"/>
        <v>2</v>
      </c>
      <c r="H35" s="82">
        <f t="shared" si="1"/>
        <v>2</v>
      </c>
    </row>
    <row r="36" spans="3:8" x14ac:dyDescent="0.2">
      <c r="C36" s="40">
        <v>40568</v>
      </c>
      <c r="F36" s="77">
        <f t="shared" si="0"/>
        <v>3</v>
      </c>
      <c r="H36" s="82">
        <f t="shared" si="1"/>
        <v>3</v>
      </c>
    </row>
    <row r="37" spans="3:8" x14ac:dyDescent="0.2">
      <c r="C37" s="40">
        <v>40569</v>
      </c>
      <c r="F37" s="77">
        <f t="shared" si="0"/>
        <v>4</v>
      </c>
      <c r="H37" s="82">
        <f t="shared" si="1"/>
        <v>4</v>
      </c>
    </row>
    <row r="38" spans="3:8" x14ac:dyDescent="0.2">
      <c r="C38" s="40">
        <v>40570</v>
      </c>
      <c r="F38" s="77">
        <f t="shared" si="0"/>
        <v>5</v>
      </c>
      <c r="H38" s="82">
        <f t="shared" si="1"/>
        <v>5</v>
      </c>
    </row>
    <row r="39" spans="3:8" x14ac:dyDescent="0.2">
      <c r="C39" s="40">
        <v>40571</v>
      </c>
      <c r="F39" s="77">
        <f t="shared" si="0"/>
        <v>6</v>
      </c>
      <c r="H39" s="82">
        <f t="shared" si="1"/>
        <v>6</v>
      </c>
    </row>
    <row r="40" spans="3:8" x14ac:dyDescent="0.2">
      <c r="C40" s="40">
        <v>40572</v>
      </c>
      <c r="F40" s="77">
        <f t="shared" si="0"/>
        <v>7</v>
      </c>
      <c r="H40" s="82">
        <f t="shared" si="1"/>
        <v>7</v>
      </c>
    </row>
    <row r="41" spans="3:8" x14ac:dyDescent="0.2">
      <c r="C41" s="40">
        <v>40573</v>
      </c>
      <c r="F41" s="77">
        <f t="shared" si="0"/>
        <v>1</v>
      </c>
      <c r="H41" s="82">
        <f t="shared" si="1"/>
        <v>1</v>
      </c>
    </row>
    <row r="42" spans="3:8" x14ac:dyDescent="0.2">
      <c r="C42" s="40">
        <v>40574</v>
      </c>
      <c r="F42" s="77">
        <f t="shared" si="0"/>
        <v>2</v>
      </c>
      <c r="H42" s="82">
        <f t="shared" si="1"/>
        <v>2</v>
      </c>
    </row>
    <row r="43" spans="3:8" x14ac:dyDescent="0.2">
      <c r="C43" s="40">
        <v>40575</v>
      </c>
      <c r="F43" s="77">
        <f t="shared" si="0"/>
        <v>3</v>
      </c>
      <c r="H43" s="82">
        <f t="shared" si="1"/>
        <v>3</v>
      </c>
    </row>
    <row r="44" spans="3:8" x14ac:dyDescent="0.2">
      <c r="C44" s="40">
        <v>40576</v>
      </c>
      <c r="F44" s="77">
        <f t="shared" si="0"/>
        <v>4</v>
      </c>
      <c r="H44" s="82">
        <f t="shared" si="1"/>
        <v>4</v>
      </c>
    </row>
    <row r="45" spans="3:8" x14ac:dyDescent="0.2">
      <c r="C45" s="40">
        <v>40577</v>
      </c>
      <c r="F45" s="77">
        <f t="shared" si="0"/>
        <v>5</v>
      </c>
      <c r="H45" s="82">
        <f t="shared" si="1"/>
        <v>5</v>
      </c>
    </row>
    <row r="46" spans="3:8" x14ac:dyDescent="0.2">
      <c r="C46" s="40">
        <v>40578</v>
      </c>
      <c r="F46" s="77">
        <f t="shared" si="0"/>
        <v>6</v>
      </c>
      <c r="H46" s="82">
        <f t="shared" si="1"/>
        <v>6</v>
      </c>
    </row>
    <row r="47" spans="3:8" x14ac:dyDescent="0.2">
      <c r="C47" s="40">
        <v>40579</v>
      </c>
      <c r="F47" s="77">
        <f t="shared" si="0"/>
        <v>7</v>
      </c>
      <c r="H47" s="82">
        <f t="shared" si="1"/>
        <v>7</v>
      </c>
    </row>
    <row r="48" spans="3:8" x14ac:dyDescent="0.2">
      <c r="C48" s="40">
        <v>40580</v>
      </c>
      <c r="F48" s="77">
        <f t="shared" si="0"/>
        <v>1</v>
      </c>
      <c r="H48" s="82">
        <f t="shared" si="1"/>
        <v>1</v>
      </c>
    </row>
    <row r="49" spans="3:8" x14ac:dyDescent="0.2">
      <c r="C49" s="40">
        <v>40581</v>
      </c>
      <c r="F49" s="77">
        <f t="shared" si="0"/>
        <v>2</v>
      </c>
      <c r="H49" s="82">
        <f t="shared" si="1"/>
        <v>2</v>
      </c>
    </row>
    <row r="50" spans="3:8" x14ac:dyDescent="0.2">
      <c r="C50" s="40">
        <v>40582</v>
      </c>
      <c r="F50" s="77">
        <f t="shared" si="0"/>
        <v>3</v>
      </c>
      <c r="H50" s="82">
        <f t="shared" si="1"/>
        <v>3</v>
      </c>
    </row>
    <row r="51" spans="3:8" x14ac:dyDescent="0.2">
      <c r="C51" s="40">
        <v>40583</v>
      </c>
      <c r="F51" s="77">
        <f t="shared" si="0"/>
        <v>4</v>
      </c>
      <c r="H51" s="82">
        <f t="shared" si="1"/>
        <v>4</v>
      </c>
    </row>
    <row r="52" spans="3:8" x14ac:dyDescent="0.2">
      <c r="C52" s="40">
        <v>40584</v>
      </c>
      <c r="F52" s="77">
        <f t="shared" si="0"/>
        <v>5</v>
      </c>
      <c r="H52" s="82">
        <f t="shared" si="1"/>
        <v>5</v>
      </c>
    </row>
    <row r="53" spans="3:8" x14ac:dyDescent="0.2">
      <c r="C53" s="40">
        <v>40585</v>
      </c>
      <c r="F53" s="77">
        <f t="shared" si="0"/>
        <v>6</v>
      </c>
      <c r="H53" s="82">
        <f t="shared" si="1"/>
        <v>6</v>
      </c>
    </row>
    <row r="54" spans="3:8" x14ac:dyDescent="0.2">
      <c r="C54" s="40">
        <v>40586</v>
      </c>
      <c r="F54" s="77">
        <f t="shared" si="0"/>
        <v>7</v>
      </c>
      <c r="H54" s="82">
        <f t="shared" si="1"/>
        <v>7</v>
      </c>
    </row>
    <row r="55" spans="3:8" x14ac:dyDescent="0.2">
      <c r="C55" s="40">
        <v>40587</v>
      </c>
      <c r="F55" s="77">
        <f t="shared" si="0"/>
        <v>1</v>
      </c>
      <c r="H55" s="82">
        <f t="shared" si="1"/>
        <v>1</v>
      </c>
    </row>
    <row r="56" spans="3:8" x14ac:dyDescent="0.2">
      <c r="C56" s="40">
        <v>40588</v>
      </c>
      <c r="F56" s="77">
        <f t="shared" si="0"/>
        <v>2</v>
      </c>
      <c r="H56" s="82">
        <f t="shared" si="1"/>
        <v>2</v>
      </c>
    </row>
    <row r="57" spans="3:8" x14ac:dyDescent="0.2">
      <c r="C57" s="40">
        <v>40589</v>
      </c>
      <c r="F57" s="77">
        <f t="shared" si="0"/>
        <v>3</v>
      </c>
      <c r="H57" s="82">
        <f t="shared" si="1"/>
        <v>3</v>
      </c>
    </row>
    <row r="58" spans="3:8" x14ac:dyDescent="0.2">
      <c r="C58" s="40">
        <v>40590</v>
      </c>
      <c r="F58" s="77">
        <f t="shared" si="0"/>
        <v>4</v>
      </c>
      <c r="H58" s="82">
        <f t="shared" si="1"/>
        <v>4</v>
      </c>
    </row>
    <row r="59" spans="3:8" x14ac:dyDescent="0.2">
      <c r="C59" s="40">
        <v>40591</v>
      </c>
      <c r="F59" s="77">
        <f t="shared" si="0"/>
        <v>5</v>
      </c>
      <c r="H59" s="82">
        <f t="shared" si="1"/>
        <v>5</v>
      </c>
    </row>
    <row r="60" spans="3:8" x14ac:dyDescent="0.2">
      <c r="C60" s="40">
        <v>40592</v>
      </c>
      <c r="F60" s="77">
        <f t="shared" si="0"/>
        <v>6</v>
      </c>
      <c r="H60" s="82">
        <f t="shared" si="1"/>
        <v>6</v>
      </c>
    </row>
    <row r="61" spans="3:8" x14ac:dyDescent="0.2">
      <c r="C61" s="40">
        <v>40593</v>
      </c>
      <c r="F61" s="77">
        <f t="shared" si="0"/>
        <v>7</v>
      </c>
      <c r="H61" s="82">
        <f t="shared" si="1"/>
        <v>7</v>
      </c>
    </row>
    <row r="62" spans="3:8" x14ac:dyDescent="0.2">
      <c r="C62" s="40">
        <v>40594</v>
      </c>
      <c r="F62" s="77">
        <f t="shared" si="0"/>
        <v>1</v>
      </c>
      <c r="H62" s="82">
        <f t="shared" si="1"/>
        <v>1</v>
      </c>
    </row>
    <row r="63" spans="3:8" x14ac:dyDescent="0.2">
      <c r="C63" s="40">
        <v>40595</v>
      </c>
      <c r="F63" s="77">
        <f t="shared" si="0"/>
        <v>2</v>
      </c>
      <c r="H63" s="82">
        <f t="shared" si="1"/>
        <v>2</v>
      </c>
    </row>
    <row r="64" spans="3:8" x14ac:dyDescent="0.2">
      <c r="C64" s="40">
        <v>40596</v>
      </c>
      <c r="F64" s="77">
        <f t="shared" si="0"/>
        <v>3</v>
      </c>
      <c r="H64" s="82">
        <f t="shared" si="1"/>
        <v>3</v>
      </c>
    </row>
    <row r="65" spans="3:8" x14ac:dyDescent="0.2">
      <c r="C65" s="40">
        <v>40597</v>
      </c>
      <c r="F65" s="77">
        <f t="shared" si="0"/>
        <v>4</v>
      </c>
      <c r="H65" s="82">
        <f t="shared" si="1"/>
        <v>4</v>
      </c>
    </row>
    <row r="66" spans="3:8" x14ac:dyDescent="0.2">
      <c r="C66" s="40">
        <v>40598</v>
      </c>
      <c r="F66" s="77">
        <f t="shared" si="0"/>
        <v>5</v>
      </c>
      <c r="H66" s="82">
        <f t="shared" si="1"/>
        <v>5</v>
      </c>
    </row>
    <row r="67" spans="3:8" x14ac:dyDescent="0.2">
      <c r="C67" s="40">
        <v>40599</v>
      </c>
      <c r="F67" s="77">
        <f t="shared" si="0"/>
        <v>6</v>
      </c>
      <c r="H67" s="82">
        <f t="shared" si="1"/>
        <v>6</v>
      </c>
    </row>
    <row r="68" spans="3:8" x14ac:dyDescent="0.2">
      <c r="C68" s="40">
        <v>40600</v>
      </c>
      <c r="F68" s="77">
        <f t="shared" si="0"/>
        <v>7</v>
      </c>
      <c r="H68" s="82">
        <f t="shared" si="1"/>
        <v>7</v>
      </c>
    </row>
    <row r="69" spans="3:8" x14ac:dyDescent="0.2">
      <c r="C69" s="40">
        <v>40601</v>
      </c>
      <c r="F69" s="77">
        <f t="shared" si="0"/>
        <v>1</v>
      </c>
      <c r="H69" s="82">
        <f t="shared" si="1"/>
        <v>1</v>
      </c>
    </row>
    <row r="70" spans="3:8" x14ac:dyDescent="0.2">
      <c r="C70" s="40">
        <v>40602</v>
      </c>
      <c r="F70" s="77">
        <f t="shared" si="0"/>
        <v>2</v>
      </c>
      <c r="H70" s="82">
        <f t="shared" si="1"/>
        <v>2</v>
      </c>
    </row>
  </sheetData>
  <pageMargins left="0.7" right="0.7" top="0.75" bottom="0.75" header="0.3" footer="0.3"/>
  <pageSetup orientation="portrait" r:id="rId1"/>
  <headerFooter>
    <oddFooter>&amp;L9/7/2017&amp;CAXP Internal&amp;R8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P15"/>
  <sheetViews>
    <sheetView showGridLines="0" zoomScale="108" zoomScaleNormal="85" workbookViewId="0"/>
  </sheetViews>
  <sheetFormatPr baseColWidth="10" defaultColWidth="8.83203125" defaultRowHeight="15" x14ac:dyDescent="0.2"/>
  <cols>
    <col min="5" max="5" width="21.5" customWidth="1"/>
    <col min="6" max="6" width="13.1640625" customWidth="1"/>
    <col min="7" max="7" width="13.5" customWidth="1"/>
    <col min="8" max="8" width="11.33203125" customWidth="1"/>
  </cols>
  <sheetData>
    <row r="2" spans="2:16" ht="23" x14ac:dyDescent="0.2">
      <c r="B2" s="61" t="s">
        <v>120</v>
      </c>
    </row>
    <row r="4" spans="2:16" ht="16" x14ac:dyDescent="0.2">
      <c r="D4" t="s">
        <v>129</v>
      </c>
      <c r="E4" t="s">
        <v>130</v>
      </c>
      <c r="N4" s="69" t="s">
        <v>137</v>
      </c>
      <c r="P4">
        <v>5</v>
      </c>
    </row>
    <row r="5" spans="2:16" x14ac:dyDescent="0.2">
      <c r="D5" t="s">
        <v>103</v>
      </c>
      <c r="E5" t="s">
        <v>131</v>
      </c>
    </row>
    <row r="6" spans="2:16" x14ac:dyDescent="0.2">
      <c r="D6" t="s">
        <v>132</v>
      </c>
      <c r="E6" t="s">
        <v>151</v>
      </c>
    </row>
    <row r="9" spans="2:16" x14ac:dyDescent="0.2">
      <c r="F9">
        <f>FIND(" ", E11)</f>
        <v>7</v>
      </c>
    </row>
    <row r="10" spans="2:16" x14ac:dyDescent="0.2">
      <c r="E10" s="66" t="s">
        <v>0</v>
      </c>
      <c r="F10" s="66" t="s">
        <v>121</v>
      </c>
      <c r="G10" s="66" t="s">
        <v>122</v>
      </c>
      <c r="H10" s="66" t="s">
        <v>123</v>
      </c>
      <c r="I10" s="81" t="s">
        <v>152</v>
      </c>
      <c r="J10" s="65"/>
    </row>
    <row r="11" spans="2:16" x14ac:dyDescent="0.2">
      <c r="E11" s="67" t="s">
        <v>124</v>
      </c>
      <c r="F11" s="79" t="str">
        <f>LEFT(E11,LEN(E11)-(LEN(E11)-FIND(" ",E11)))</f>
        <v xml:space="preserve">Vishal </v>
      </c>
      <c r="G11" s="79" t="str">
        <f>RIGHT(E11,LEN(E11)-FIND(" ", E11))</f>
        <v>Thakur</v>
      </c>
      <c r="H11" s="79">
        <f>RANK(I11,$I$11:$I$15)</f>
        <v>3</v>
      </c>
      <c r="I11" s="80">
        <f>LEN(E11)</f>
        <v>13</v>
      </c>
      <c r="J11" s="65"/>
    </row>
    <row r="12" spans="2:16" x14ac:dyDescent="0.2">
      <c r="E12" s="67" t="s">
        <v>125</v>
      </c>
      <c r="F12" s="79" t="str">
        <f t="shared" ref="F12:F15" si="0">LEFT(E12,LEN(E12)-(LEN(E12)-FIND(" ",E12)))</f>
        <v xml:space="preserve">Ashish </v>
      </c>
      <c r="G12" s="79" t="str">
        <f t="shared" ref="G12:G15" si="1">RIGHT(E12,LEN(E12)-FIND(" ", E12))</f>
        <v>Kaul</v>
      </c>
      <c r="H12" s="79">
        <f t="shared" ref="H12:H15" si="2">RANK(I12,$I$11:$I$15)</f>
        <v>5</v>
      </c>
      <c r="I12" s="80">
        <f t="shared" ref="I12:I15" si="3">LEN(E12)</f>
        <v>11</v>
      </c>
      <c r="J12" s="65"/>
    </row>
    <row r="13" spans="2:16" x14ac:dyDescent="0.2">
      <c r="E13" s="67" t="s">
        <v>126</v>
      </c>
      <c r="F13" s="79" t="str">
        <f t="shared" si="0"/>
        <v xml:space="preserve">Shobhit </v>
      </c>
      <c r="G13" s="79" t="str">
        <f t="shared" si="1"/>
        <v>Mathur</v>
      </c>
      <c r="H13" s="79">
        <f t="shared" si="2"/>
        <v>2</v>
      </c>
      <c r="I13" s="80">
        <f t="shared" si="3"/>
        <v>14</v>
      </c>
      <c r="J13" s="65"/>
    </row>
    <row r="14" spans="2:16" x14ac:dyDescent="0.2">
      <c r="E14" s="67" t="s">
        <v>127</v>
      </c>
      <c r="F14" s="79" t="str">
        <f t="shared" si="0"/>
        <v xml:space="preserve">Ranabir </v>
      </c>
      <c r="G14" s="79" t="str">
        <f t="shared" si="1"/>
        <v>Bhattacharjee</v>
      </c>
      <c r="H14" s="79">
        <f t="shared" si="2"/>
        <v>1</v>
      </c>
      <c r="I14" s="80">
        <f t="shared" si="3"/>
        <v>21</v>
      </c>
      <c r="J14" s="65"/>
    </row>
    <row r="15" spans="2:16" x14ac:dyDescent="0.2">
      <c r="E15" s="67" t="s">
        <v>128</v>
      </c>
      <c r="F15" s="79" t="str">
        <f t="shared" si="0"/>
        <v xml:space="preserve">Raj </v>
      </c>
      <c r="G15" s="79" t="str">
        <f t="shared" si="1"/>
        <v>Malhotra</v>
      </c>
      <c r="H15" s="79">
        <f t="shared" si="2"/>
        <v>4</v>
      </c>
      <c r="I15" s="80">
        <f t="shared" si="3"/>
        <v>12</v>
      </c>
      <c r="J15" s="65"/>
    </row>
  </sheetData>
  <pageMargins left="0.7" right="0.7" top="0.75" bottom="0.75" header="0.3" footer="0.3"/>
  <pageSetup orientation="portrait" r:id="rId1"/>
  <headerFooter>
    <oddFooter>&amp;L9/7/2017&amp;CAXP Internal&amp;R9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pageSetup orientation="portrait" horizontalDpi="90" verticalDpi="90" r:id="rId1"/>
  <headerFooter>
    <oddFooter>&amp;L9/7/2017&amp;CAXP Internal&amp;R10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3:C20"/>
  <sheetViews>
    <sheetView workbookViewId="0">
      <selection activeCell="A3" sqref="A3"/>
    </sheetView>
  </sheetViews>
  <sheetFormatPr baseColWidth="10" defaultColWidth="8.83203125" defaultRowHeight="15" x14ac:dyDescent="0.2"/>
  <sheetData>
    <row r="3" spans="1:3" x14ac:dyDescent="0.2">
      <c r="A3" s="84"/>
      <c r="B3" s="85"/>
      <c r="C3" s="86"/>
    </row>
    <row r="4" spans="1:3" x14ac:dyDescent="0.2">
      <c r="A4" s="87"/>
      <c r="B4" s="88"/>
      <c r="C4" s="89"/>
    </row>
    <row r="5" spans="1:3" x14ac:dyDescent="0.2">
      <c r="A5" s="87"/>
      <c r="B5" s="88"/>
      <c r="C5" s="89"/>
    </row>
    <row r="6" spans="1:3" x14ac:dyDescent="0.2">
      <c r="A6" s="87"/>
      <c r="B6" s="88"/>
      <c r="C6" s="89"/>
    </row>
    <row r="7" spans="1:3" x14ac:dyDescent="0.2">
      <c r="A7" s="87"/>
      <c r="B7" s="88"/>
      <c r="C7" s="89"/>
    </row>
    <row r="8" spans="1:3" x14ac:dyDescent="0.2">
      <c r="A8" s="87"/>
      <c r="B8" s="88"/>
      <c r="C8" s="89"/>
    </row>
    <row r="9" spans="1:3" x14ac:dyDescent="0.2">
      <c r="A9" s="87"/>
      <c r="B9" s="88"/>
      <c r="C9" s="89"/>
    </row>
    <row r="10" spans="1:3" x14ac:dyDescent="0.2">
      <c r="A10" s="87"/>
      <c r="B10" s="88"/>
      <c r="C10" s="89"/>
    </row>
    <row r="11" spans="1:3" x14ac:dyDescent="0.2">
      <c r="A11" s="87"/>
      <c r="B11" s="88"/>
      <c r="C11" s="89"/>
    </row>
    <row r="12" spans="1:3" x14ac:dyDescent="0.2">
      <c r="A12" s="87"/>
      <c r="B12" s="88"/>
      <c r="C12" s="89"/>
    </row>
    <row r="13" spans="1:3" x14ac:dyDescent="0.2">
      <c r="A13" s="87"/>
      <c r="B13" s="88"/>
      <c r="C13" s="89"/>
    </row>
    <row r="14" spans="1:3" x14ac:dyDescent="0.2">
      <c r="A14" s="87"/>
      <c r="B14" s="88"/>
      <c r="C14" s="89"/>
    </row>
    <row r="15" spans="1:3" x14ac:dyDescent="0.2">
      <c r="A15" s="87"/>
      <c r="B15" s="88"/>
      <c r="C15" s="89"/>
    </row>
    <row r="16" spans="1:3" x14ac:dyDescent="0.2">
      <c r="A16" s="87"/>
      <c r="B16" s="88"/>
      <c r="C16" s="89"/>
    </row>
    <row r="17" spans="1:3" x14ac:dyDescent="0.2">
      <c r="A17" s="87"/>
      <c r="B17" s="88"/>
      <c r="C17" s="89"/>
    </row>
    <row r="18" spans="1:3" x14ac:dyDescent="0.2">
      <c r="A18" s="87"/>
      <c r="B18" s="88"/>
      <c r="C18" s="89"/>
    </row>
    <row r="19" spans="1:3" x14ac:dyDescent="0.2">
      <c r="A19" s="87"/>
      <c r="B19" s="88"/>
      <c r="C19" s="89"/>
    </row>
    <row r="20" spans="1:3" x14ac:dyDescent="0.2">
      <c r="A20" s="90"/>
      <c r="B20" s="91"/>
      <c r="C20" s="92"/>
    </row>
  </sheetData>
  <pageMargins left="0.7" right="0.7" top="0.75" bottom="0.75" header="0.3" footer="0.3"/>
  <pageSetup orientation="portrait" horizontalDpi="90" verticalDpi="90" r:id="rId2"/>
  <headerFooter>
    <oddFooter>&amp;L9/7/2017&amp;CAXP Internal&amp;R11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B2:O430"/>
  <sheetViews>
    <sheetView showGridLines="0" zoomScale="85" zoomScaleNormal="85" workbookViewId="0"/>
  </sheetViews>
  <sheetFormatPr baseColWidth="10" defaultColWidth="8.83203125" defaultRowHeight="15" x14ac:dyDescent="0.2"/>
  <cols>
    <col min="3" max="3" width="12.6640625" bestFit="1" customWidth="1"/>
    <col min="4" max="4" width="13" bestFit="1" customWidth="1"/>
    <col min="5" max="5" width="9.33203125" bestFit="1" customWidth="1"/>
    <col min="6" max="6" width="13" bestFit="1" customWidth="1"/>
    <col min="7" max="50" width="17.5" customWidth="1"/>
    <col min="51" max="51" width="20.33203125" customWidth="1"/>
    <col min="52" max="52" width="22.83203125" customWidth="1"/>
    <col min="53" max="53" width="22.5" customWidth="1"/>
    <col min="54" max="54" width="20.83203125" customWidth="1"/>
    <col min="55" max="78" width="17.5" customWidth="1"/>
    <col min="79" max="79" width="20" customWidth="1"/>
    <col min="80" max="80" width="22.5" customWidth="1"/>
    <col min="81" max="81" width="22.33203125" customWidth="1"/>
    <col min="82" max="82" width="20.5" customWidth="1"/>
    <col min="83" max="83" width="20.33203125" customWidth="1"/>
    <col min="84" max="84" width="22.83203125" customWidth="1"/>
    <col min="85" max="85" width="22.5" customWidth="1"/>
    <col min="86" max="86" width="20.83203125" customWidth="1"/>
    <col min="87" max="98" width="17.5" customWidth="1"/>
    <col min="99" max="99" width="20" customWidth="1"/>
    <col min="100" max="100" width="22.5" customWidth="1"/>
    <col min="101" max="101" width="22.33203125" customWidth="1"/>
    <col min="102" max="102" width="20.5" customWidth="1"/>
    <col min="103" max="103" width="25.33203125" customWidth="1"/>
    <col min="104" max="104" width="27.6640625" customWidth="1"/>
    <col min="105" max="105" width="27.5" customWidth="1"/>
    <col min="106" max="106" width="25.6640625" customWidth="1"/>
    <col min="107" max="135" width="17.5" customWidth="1"/>
    <col min="136" max="138" width="17.5" bestFit="1" customWidth="1"/>
    <col min="139" max="139" width="20" customWidth="1"/>
    <col min="140" max="140" width="22.5" customWidth="1"/>
    <col min="141" max="141" width="22.33203125" customWidth="1"/>
    <col min="142" max="142" width="20.5" customWidth="1"/>
    <col min="143" max="143" width="17.5" customWidth="1"/>
    <col min="144" max="145" width="17.5" bestFit="1" customWidth="1"/>
    <col min="146" max="148" width="17.5" customWidth="1"/>
    <col min="149" max="150" width="17.5" bestFit="1" customWidth="1"/>
    <col min="151" max="151" width="20" customWidth="1"/>
    <col min="152" max="152" width="22.5" customWidth="1"/>
    <col min="153" max="153" width="22.33203125" customWidth="1"/>
    <col min="154" max="154" width="20.5" customWidth="1"/>
    <col min="155" max="155" width="25.1640625" customWidth="1"/>
    <col min="156" max="156" width="27.5" customWidth="1"/>
    <col min="157" max="157" width="27.33203125" customWidth="1"/>
    <col min="158" max="158" width="25.5" customWidth="1"/>
    <col min="159" max="160" width="17.5" customWidth="1"/>
    <col min="161" max="162" width="17.5" bestFit="1" customWidth="1"/>
    <col min="163" max="163" width="20" customWidth="1"/>
    <col min="164" max="164" width="22.5" customWidth="1"/>
    <col min="165" max="165" width="22.33203125" customWidth="1"/>
    <col min="166" max="166" width="20.5" customWidth="1"/>
    <col min="167" max="167" width="22.5" customWidth="1"/>
    <col min="168" max="168" width="25" customWidth="1"/>
    <col min="169" max="169" width="24.6640625" customWidth="1"/>
    <col min="170" max="170" width="23.1640625" customWidth="1"/>
    <col min="171" max="172" width="17.5" bestFit="1" customWidth="1"/>
    <col min="173" max="182" width="17.5" customWidth="1"/>
    <col min="183" max="183" width="20" customWidth="1"/>
    <col min="184" max="184" width="22.5" customWidth="1"/>
    <col min="185" max="185" width="22.33203125" customWidth="1"/>
    <col min="186" max="186" width="20.5" customWidth="1"/>
    <col min="187" max="187" width="24.6640625" customWidth="1"/>
    <col min="188" max="188" width="27.33203125" customWidth="1"/>
    <col min="189" max="189" width="27" customWidth="1"/>
    <col min="190" max="190" width="25.33203125" customWidth="1"/>
    <col min="191" max="198" width="17.5" customWidth="1"/>
    <col min="199" max="199" width="20" customWidth="1"/>
    <col min="200" max="200" width="22.5" customWidth="1"/>
    <col min="201" max="201" width="22.33203125" customWidth="1"/>
    <col min="202" max="202" width="20.5" customWidth="1"/>
    <col min="203" max="203" width="23.6640625" customWidth="1"/>
    <col min="204" max="204" width="26" customWidth="1"/>
    <col min="205" max="205" width="25.6640625" customWidth="1"/>
    <col min="206" max="206" width="24.1640625" customWidth="1"/>
    <col min="207" max="212" width="17.5" customWidth="1"/>
    <col min="213" max="216" width="17.5" bestFit="1" customWidth="1"/>
    <col min="217" max="218" width="17.5" customWidth="1"/>
    <col min="219" max="219" width="20" customWidth="1"/>
    <col min="220" max="220" width="22.5" customWidth="1"/>
    <col min="221" max="221" width="22.33203125" customWidth="1"/>
    <col min="222" max="222" width="20.5" customWidth="1"/>
    <col min="223" max="227" width="17.5" bestFit="1" customWidth="1"/>
    <col min="228" max="234" width="17.5" customWidth="1"/>
    <col min="235" max="235" width="20" customWidth="1"/>
    <col min="236" max="236" width="22.5" customWidth="1"/>
    <col min="237" max="237" width="22.33203125" customWidth="1"/>
    <col min="238" max="238" width="20.5" customWidth="1"/>
    <col min="239" max="239" width="29.1640625" customWidth="1"/>
    <col min="240" max="240" width="31.6640625" customWidth="1"/>
    <col min="241" max="241" width="31.33203125" customWidth="1"/>
    <col min="242" max="242" width="29.6640625" customWidth="1"/>
    <col min="243" max="246" width="17.5" bestFit="1" customWidth="1"/>
    <col min="247" max="257" width="17.5" customWidth="1"/>
    <col min="258" max="261" width="17.5" bestFit="1" customWidth="1"/>
    <col min="262" max="266" width="17.5" customWidth="1"/>
    <col min="267" max="267" width="17.5" bestFit="1" customWidth="1"/>
    <col min="268" max="268" width="17.5" customWidth="1"/>
    <col min="269" max="272" width="17.5" bestFit="1" customWidth="1"/>
    <col min="273" max="277" width="17.5" customWidth="1"/>
    <col min="278" max="278" width="17.5" bestFit="1" customWidth="1"/>
    <col min="279" max="279" width="20" customWidth="1"/>
    <col min="280" max="280" width="22.5" customWidth="1"/>
    <col min="281" max="281" width="22.33203125" customWidth="1"/>
    <col min="282" max="282" width="20.5" customWidth="1"/>
    <col min="283" max="286" width="17.5" bestFit="1" customWidth="1"/>
    <col min="287" max="287" width="20" customWidth="1"/>
    <col min="288" max="288" width="22.5" customWidth="1"/>
    <col min="289" max="289" width="22.33203125" customWidth="1"/>
    <col min="290" max="290" width="20.5" customWidth="1"/>
    <col min="291" max="291" width="24.33203125" customWidth="1"/>
    <col min="292" max="292" width="26.6640625" customWidth="1"/>
    <col min="293" max="293" width="26.5" customWidth="1"/>
    <col min="294" max="294" width="24.6640625" customWidth="1"/>
    <col min="295" max="302" width="17.5" customWidth="1"/>
    <col min="303" max="303" width="20" customWidth="1"/>
    <col min="304" max="304" width="22.5" customWidth="1"/>
    <col min="305" max="305" width="22.33203125" customWidth="1"/>
    <col min="306" max="306" width="20.5" customWidth="1"/>
    <col min="307" max="309" width="17.5" bestFit="1" customWidth="1"/>
    <col min="310" max="310" width="17.5" customWidth="1"/>
    <col min="311" max="311" width="20" customWidth="1"/>
    <col min="312" max="312" width="22.5" customWidth="1"/>
    <col min="313" max="313" width="22.33203125" customWidth="1"/>
    <col min="314" max="314" width="20.5" customWidth="1"/>
    <col min="315" max="315" width="23.5" customWidth="1"/>
    <col min="316" max="316" width="25.83203125" customWidth="1"/>
    <col min="317" max="317" width="25.5" customWidth="1"/>
    <col min="318" max="318" width="24" customWidth="1"/>
    <col min="319" max="326" width="17.5" bestFit="1" customWidth="1"/>
    <col min="327" max="327" width="20" bestFit="1" customWidth="1"/>
    <col min="328" max="328" width="22.5" customWidth="1"/>
    <col min="329" max="329" width="22.33203125" customWidth="1"/>
    <col min="330" max="330" width="20.5" customWidth="1"/>
    <col min="331" max="331" width="22.33203125" customWidth="1"/>
    <col min="332" max="332" width="24.6640625" customWidth="1"/>
    <col min="333" max="333" width="24.5" customWidth="1"/>
    <col min="334" max="334" width="22.83203125" customWidth="1"/>
    <col min="335" max="345" width="17.5" bestFit="1" customWidth="1"/>
    <col min="346" max="346" width="17.5" customWidth="1"/>
    <col min="347" max="347" width="20" customWidth="1"/>
    <col min="348" max="348" width="22.5" customWidth="1"/>
    <col min="349" max="349" width="22.33203125" customWidth="1"/>
    <col min="350" max="350" width="20.5" customWidth="1"/>
    <col min="351" max="351" width="21.33203125" customWidth="1"/>
    <col min="352" max="352" width="23.6640625" customWidth="1"/>
    <col min="353" max="353" width="23.5" customWidth="1"/>
    <col min="354" max="354" width="21.6640625" customWidth="1"/>
    <col min="355" max="357" width="17.5" bestFit="1" customWidth="1"/>
    <col min="358" max="367" width="17.5" customWidth="1"/>
    <col min="368" max="377" width="17.5" bestFit="1" customWidth="1"/>
    <col min="378" max="382" width="17.5" customWidth="1"/>
    <col min="383" max="387" width="17.5" bestFit="1" customWidth="1"/>
    <col min="388" max="390" width="17.5" customWidth="1"/>
    <col min="391" max="391" width="20" customWidth="1"/>
    <col min="392" max="392" width="22.5" bestFit="1" customWidth="1"/>
    <col min="393" max="393" width="22.33203125" customWidth="1"/>
    <col min="394" max="394" width="20.5" customWidth="1"/>
    <col min="395" max="398" width="17.5" customWidth="1"/>
    <col min="399" max="399" width="17.5" bestFit="1" customWidth="1"/>
    <col min="400" max="401" width="17.5" customWidth="1"/>
    <col min="402" max="407" width="17.5" bestFit="1" customWidth="1"/>
    <col min="408" max="410" width="17.5" customWidth="1"/>
    <col min="411" max="411" width="20" customWidth="1"/>
    <col min="412" max="412" width="22.5" bestFit="1" customWidth="1"/>
    <col min="413" max="413" width="22.33203125" customWidth="1"/>
    <col min="414" max="414" width="20.5" customWidth="1"/>
    <col min="415" max="415" width="23.6640625" customWidth="1"/>
    <col min="416" max="416" width="26.1640625" bestFit="1" customWidth="1"/>
    <col min="417" max="417" width="25.83203125" customWidth="1"/>
    <col min="418" max="418" width="24.33203125" customWidth="1"/>
    <col min="419" max="432" width="17.5" bestFit="1" customWidth="1"/>
    <col min="433" max="434" width="17.5" customWidth="1"/>
    <col min="435" max="435" width="20" customWidth="1"/>
    <col min="436" max="436" width="22.5" bestFit="1" customWidth="1"/>
    <col min="437" max="437" width="22.33203125" customWidth="1"/>
    <col min="438" max="438" width="20.5" customWidth="1"/>
    <col min="439" max="442" width="17.5" customWidth="1"/>
    <col min="443" max="458" width="17.5" bestFit="1" customWidth="1"/>
    <col min="459" max="459" width="20" bestFit="1" customWidth="1"/>
    <col min="460" max="460" width="22.5" customWidth="1"/>
    <col min="461" max="461" width="22.33203125" customWidth="1"/>
    <col min="462" max="462" width="20.5" customWidth="1"/>
    <col min="463" max="463" width="28.83203125" customWidth="1"/>
    <col min="464" max="464" width="31.33203125" customWidth="1"/>
    <col min="465" max="465" width="31.1640625" customWidth="1"/>
    <col min="466" max="466" width="29.5" customWidth="1"/>
    <col min="467" max="487" width="17.5" bestFit="1" customWidth="1"/>
    <col min="488" max="492" width="17.5" customWidth="1"/>
    <col min="493" max="502" width="17.5" bestFit="1" customWidth="1"/>
    <col min="503" max="503" width="20" bestFit="1" customWidth="1"/>
    <col min="504" max="504" width="22.5" customWidth="1"/>
    <col min="505" max="505" width="22.33203125" customWidth="1"/>
    <col min="506" max="506" width="20.5" customWidth="1"/>
    <col min="507" max="512" width="17.5" bestFit="1" customWidth="1"/>
    <col min="513" max="522" width="17.5" customWidth="1"/>
    <col min="523" max="523" width="20" bestFit="1" customWidth="1"/>
    <col min="524" max="524" width="22.5" customWidth="1"/>
    <col min="525" max="525" width="22.33203125" customWidth="1"/>
    <col min="526" max="526" width="20.5" customWidth="1"/>
    <col min="527" max="527" width="18.33203125" bestFit="1" customWidth="1"/>
    <col min="528" max="528" width="20.6640625" customWidth="1"/>
    <col min="529" max="529" width="20.33203125" customWidth="1"/>
    <col min="530" max="530" width="18.6640625" customWidth="1"/>
    <col min="531" max="531" width="20.33203125" bestFit="1" customWidth="1"/>
    <col min="532" max="532" width="22.83203125" customWidth="1"/>
    <col min="533" max="533" width="22.5" customWidth="1"/>
    <col min="534" max="534" width="20.83203125" customWidth="1"/>
    <col min="535" max="542" width="17" bestFit="1" customWidth="1"/>
    <col min="543" max="543" width="16.1640625" bestFit="1" customWidth="1"/>
    <col min="544" max="544" width="19.5" bestFit="1" customWidth="1"/>
    <col min="545" max="545" width="21.6640625" bestFit="1" customWidth="1"/>
    <col min="546" max="546" width="21.5" bestFit="1" customWidth="1"/>
    <col min="547" max="547" width="20.33203125" bestFit="1" customWidth="1"/>
    <col min="548" max="572" width="17" bestFit="1" customWidth="1"/>
    <col min="573" max="573" width="16.1640625" bestFit="1" customWidth="1"/>
    <col min="574" max="574" width="19.5" bestFit="1" customWidth="1"/>
    <col min="575" max="575" width="21.6640625" bestFit="1" customWidth="1"/>
    <col min="576" max="576" width="21.5" bestFit="1" customWidth="1"/>
    <col min="577" max="577" width="20.33203125" bestFit="1" customWidth="1"/>
    <col min="578" max="578" width="25" bestFit="1" customWidth="1"/>
    <col min="579" max="579" width="28.33203125" bestFit="1" customWidth="1"/>
    <col min="580" max="581" width="30.5" bestFit="1" customWidth="1"/>
    <col min="582" max="582" width="29.1640625" bestFit="1" customWidth="1"/>
    <col min="583" max="627" width="17" bestFit="1" customWidth="1"/>
    <col min="628" max="628" width="16.1640625" bestFit="1" customWidth="1"/>
    <col min="629" max="629" width="19.5" bestFit="1" customWidth="1"/>
    <col min="630" max="630" width="21.6640625" bestFit="1" customWidth="1"/>
    <col min="631" max="631" width="21.5" bestFit="1" customWidth="1"/>
    <col min="632" max="632" width="20.33203125" bestFit="1" customWidth="1"/>
    <col min="633" max="652" width="17" bestFit="1" customWidth="1"/>
    <col min="653" max="653" width="16.1640625" bestFit="1" customWidth="1"/>
    <col min="654" max="654" width="19.5" bestFit="1" customWidth="1"/>
    <col min="655" max="655" width="21.6640625" bestFit="1" customWidth="1"/>
    <col min="656" max="656" width="21.5" bestFit="1" customWidth="1"/>
    <col min="657" max="657" width="20.33203125" bestFit="1" customWidth="1"/>
    <col min="658" max="658" width="14.6640625" bestFit="1" customWidth="1"/>
    <col min="659" max="659" width="18" bestFit="1" customWidth="1"/>
    <col min="660" max="660" width="20.1640625" bestFit="1" customWidth="1"/>
    <col min="661" max="661" width="20" bestFit="1" customWidth="1"/>
    <col min="662" max="662" width="18.83203125" bestFit="1" customWidth="1"/>
    <col min="663" max="663" width="16.5" bestFit="1" customWidth="1"/>
    <col min="664" max="664" width="19.83203125" bestFit="1" customWidth="1"/>
    <col min="665" max="665" width="22.1640625" bestFit="1" customWidth="1"/>
    <col min="666" max="666" width="22" bestFit="1" customWidth="1"/>
    <col min="667" max="667" width="20.6640625" bestFit="1" customWidth="1"/>
  </cols>
  <sheetData>
    <row r="2" spans="2:15" ht="23" x14ac:dyDescent="0.2">
      <c r="B2" s="61" t="s">
        <v>133</v>
      </c>
      <c r="D2" s="68" t="s">
        <v>136</v>
      </c>
      <c r="E2" s="68"/>
      <c r="F2" s="68"/>
      <c r="G2" s="68"/>
    </row>
    <row r="3" spans="2:15" x14ac:dyDescent="0.2">
      <c r="D3" s="68"/>
      <c r="E3" s="68"/>
      <c r="F3" s="68" t="s">
        <v>134</v>
      </c>
      <c r="G3" s="68"/>
      <c r="N3" s="54" t="s">
        <v>114</v>
      </c>
      <c r="O3">
        <v>2</v>
      </c>
    </row>
    <row r="4" spans="2:15" x14ac:dyDescent="0.2">
      <c r="D4" s="68"/>
      <c r="E4" s="68"/>
      <c r="F4" s="68" t="s">
        <v>153</v>
      </c>
      <c r="G4" s="68"/>
      <c r="N4" s="54" t="s">
        <v>114</v>
      </c>
      <c r="O4">
        <v>2</v>
      </c>
    </row>
    <row r="7" spans="2:15" x14ac:dyDescent="0.2">
      <c r="C7" t="s">
        <v>142</v>
      </c>
    </row>
    <row r="9" spans="2:15" x14ac:dyDescent="0.2">
      <c r="C9" s="94" t="s">
        <v>172</v>
      </c>
      <c r="D9" t="s">
        <v>176</v>
      </c>
      <c r="K9" s="54"/>
      <c r="L9" s="54"/>
      <c r="M9" s="54"/>
      <c r="N9" s="54"/>
    </row>
    <row r="10" spans="2:15" x14ac:dyDescent="0.2">
      <c r="C10" s="95" t="s">
        <v>70</v>
      </c>
      <c r="D10" s="96">
        <v>15490.46</v>
      </c>
      <c r="N10" s="39"/>
    </row>
    <row r="11" spans="2:15" x14ac:dyDescent="0.2">
      <c r="C11" s="95" t="s">
        <v>74</v>
      </c>
      <c r="D11" s="96">
        <v>377393.65</v>
      </c>
      <c r="N11" s="39"/>
    </row>
    <row r="12" spans="2:15" x14ac:dyDescent="0.2">
      <c r="C12" s="95" t="s">
        <v>64</v>
      </c>
      <c r="D12" s="96">
        <v>2212831.2999999998</v>
      </c>
      <c r="N12" s="39"/>
    </row>
    <row r="13" spans="2:15" x14ac:dyDescent="0.2">
      <c r="C13" s="95" t="s">
        <v>62</v>
      </c>
      <c r="D13" s="96">
        <v>120445.81999999998</v>
      </c>
      <c r="N13" s="39"/>
    </row>
    <row r="14" spans="2:15" x14ac:dyDescent="0.2">
      <c r="C14" s="95" t="s">
        <v>73</v>
      </c>
      <c r="D14" s="96">
        <v>743.85</v>
      </c>
      <c r="N14" s="39"/>
    </row>
    <row r="15" spans="2:15" x14ac:dyDescent="0.2">
      <c r="C15" s="95" t="s">
        <v>67</v>
      </c>
      <c r="D15" s="96">
        <v>1549178</v>
      </c>
      <c r="N15" s="39"/>
    </row>
    <row r="16" spans="2:15" x14ac:dyDescent="0.2">
      <c r="C16" s="95" t="s">
        <v>71</v>
      </c>
      <c r="D16" s="96">
        <v>63460.4</v>
      </c>
      <c r="N16" s="39"/>
    </row>
    <row r="17" spans="3:14" x14ac:dyDescent="0.2">
      <c r="C17" s="95" t="s">
        <v>63</v>
      </c>
      <c r="D17" s="96">
        <v>75842.45</v>
      </c>
      <c r="N17" s="39"/>
    </row>
    <row r="18" spans="3:14" x14ac:dyDescent="0.2">
      <c r="C18" s="95" t="s">
        <v>68</v>
      </c>
      <c r="D18" s="96">
        <v>2396940</v>
      </c>
      <c r="N18" s="39"/>
    </row>
    <row r="19" spans="3:14" x14ac:dyDescent="0.2">
      <c r="C19" s="95" t="s">
        <v>72</v>
      </c>
      <c r="D19" s="96">
        <v>163696.82999999999</v>
      </c>
      <c r="N19" s="39"/>
    </row>
    <row r="20" spans="3:14" x14ac:dyDescent="0.2">
      <c r="C20" s="95" t="s">
        <v>69</v>
      </c>
      <c r="D20" s="96">
        <v>2203887.25</v>
      </c>
      <c r="N20" s="39"/>
    </row>
    <row r="21" spans="3:14" x14ac:dyDescent="0.2">
      <c r="C21" s="95" t="s">
        <v>65</v>
      </c>
      <c r="D21" s="96">
        <v>539333.04999999993</v>
      </c>
      <c r="N21" s="39"/>
    </row>
    <row r="22" spans="3:14" x14ac:dyDescent="0.2">
      <c r="C22" s="95" t="s">
        <v>60</v>
      </c>
      <c r="D22" s="96">
        <v>6776855</v>
      </c>
      <c r="N22" s="39"/>
    </row>
    <row r="23" spans="3:14" x14ac:dyDescent="0.2">
      <c r="C23" s="95" t="s">
        <v>66</v>
      </c>
      <c r="D23" s="96">
        <v>188851.99</v>
      </c>
      <c r="N23" s="39"/>
    </row>
    <row r="24" spans="3:14" x14ac:dyDescent="0.2">
      <c r="C24" s="95" t="s">
        <v>61</v>
      </c>
      <c r="D24" s="96">
        <v>1000244.51</v>
      </c>
      <c r="N24" s="39"/>
    </row>
    <row r="25" spans="3:14" x14ac:dyDescent="0.2">
      <c r="C25" s="95" t="s">
        <v>173</v>
      </c>
      <c r="D25" s="96">
        <v>17685194.560000002</v>
      </c>
      <c r="N25" s="39"/>
    </row>
    <row r="26" spans="3:14" x14ac:dyDescent="0.2">
      <c r="N26" s="39"/>
    </row>
    <row r="27" spans="3:14" x14ac:dyDescent="0.2">
      <c r="N27" s="39"/>
    </row>
    <row r="28" spans="3:14" x14ac:dyDescent="0.2">
      <c r="N28" s="39"/>
    </row>
    <row r="29" spans="3:14" x14ac:dyDescent="0.2">
      <c r="N29" s="39"/>
    </row>
    <row r="30" spans="3:14" x14ac:dyDescent="0.2">
      <c r="C30" t="s">
        <v>154</v>
      </c>
      <c r="N30" s="39"/>
    </row>
    <row r="31" spans="3:14" x14ac:dyDescent="0.2">
      <c r="N31" s="39"/>
    </row>
    <row r="32" spans="3:14" x14ac:dyDescent="0.2">
      <c r="N32" s="39"/>
    </row>
    <row r="33" spans="3:14" x14ac:dyDescent="0.2">
      <c r="N33" s="39"/>
    </row>
    <row r="34" spans="3:14" x14ac:dyDescent="0.2">
      <c r="C34" s="94" t="s">
        <v>90</v>
      </c>
      <c r="D34" s="94" t="s">
        <v>91</v>
      </c>
      <c r="E34" s="94" t="s">
        <v>77</v>
      </c>
      <c r="F34" t="s">
        <v>176</v>
      </c>
      <c r="N34" s="39"/>
    </row>
    <row r="35" spans="3:14" x14ac:dyDescent="0.2">
      <c r="C35" t="s">
        <v>70</v>
      </c>
      <c r="D35">
        <v>2010</v>
      </c>
      <c r="E35">
        <v>1</v>
      </c>
      <c r="F35" s="96">
        <v>14107.46</v>
      </c>
      <c r="N35" s="39"/>
    </row>
    <row r="36" spans="3:14" x14ac:dyDescent="0.2">
      <c r="C36" t="s">
        <v>70</v>
      </c>
      <c r="D36">
        <v>2010</v>
      </c>
      <c r="E36">
        <v>3</v>
      </c>
      <c r="F36" s="96">
        <v>125</v>
      </c>
      <c r="N36" s="39"/>
    </row>
    <row r="37" spans="3:14" x14ac:dyDescent="0.2">
      <c r="C37" t="s">
        <v>70</v>
      </c>
      <c r="D37">
        <v>2010</v>
      </c>
      <c r="E37">
        <v>4</v>
      </c>
      <c r="F37" s="96">
        <v>989</v>
      </c>
      <c r="N37" s="39"/>
    </row>
    <row r="38" spans="3:14" x14ac:dyDescent="0.2">
      <c r="C38" t="s">
        <v>70</v>
      </c>
      <c r="D38">
        <v>2010</v>
      </c>
      <c r="E38">
        <v>5</v>
      </c>
      <c r="F38" s="96">
        <v>269</v>
      </c>
      <c r="N38" s="39"/>
    </row>
    <row r="39" spans="3:14" x14ac:dyDescent="0.2">
      <c r="C39" t="s">
        <v>74</v>
      </c>
      <c r="D39">
        <v>2010</v>
      </c>
      <c r="E39">
        <v>1</v>
      </c>
      <c r="F39" s="96">
        <v>169660.2</v>
      </c>
      <c r="N39" s="39"/>
    </row>
    <row r="40" spans="3:14" x14ac:dyDescent="0.2">
      <c r="C40" t="s">
        <v>74</v>
      </c>
      <c r="D40">
        <v>2010</v>
      </c>
      <c r="E40">
        <v>2</v>
      </c>
      <c r="F40" s="96">
        <v>22046.400000000001</v>
      </c>
      <c r="N40" s="39"/>
    </row>
    <row r="41" spans="3:14" x14ac:dyDescent="0.2">
      <c r="C41" t="s">
        <v>74</v>
      </c>
      <c r="D41">
        <v>2010</v>
      </c>
      <c r="E41">
        <v>3</v>
      </c>
      <c r="F41" s="96">
        <v>97847</v>
      </c>
      <c r="N41" s="39"/>
    </row>
    <row r="42" spans="3:14" x14ac:dyDescent="0.2">
      <c r="C42" t="s">
        <v>74</v>
      </c>
      <c r="D42">
        <v>2010</v>
      </c>
      <c r="E42">
        <v>4</v>
      </c>
      <c r="F42" s="96">
        <v>15516</v>
      </c>
      <c r="N42" s="39"/>
    </row>
    <row r="43" spans="3:14" x14ac:dyDescent="0.2">
      <c r="C43" t="s">
        <v>74</v>
      </c>
      <c r="D43">
        <v>2010</v>
      </c>
      <c r="E43">
        <v>10</v>
      </c>
      <c r="F43" s="96">
        <v>28380</v>
      </c>
      <c r="N43" s="39"/>
    </row>
    <row r="44" spans="3:14" x14ac:dyDescent="0.2">
      <c r="C44" t="s">
        <v>74</v>
      </c>
      <c r="D44">
        <v>2011</v>
      </c>
      <c r="E44">
        <v>1</v>
      </c>
      <c r="F44" s="96">
        <v>8020</v>
      </c>
      <c r="N44" s="39"/>
    </row>
    <row r="45" spans="3:14" x14ac:dyDescent="0.2">
      <c r="C45" t="s">
        <v>74</v>
      </c>
      <c r="D45">
        <v>2011</v>
      </c>
      <c r="E45">
        <v>4</v>
      </c>
      <c r="F45" s="96">
        <v>8301.6899999999987</v>
      </c>
      <c r="N45" s="39"/>
    </row>
    <row r="46" spans="3:14" x14ac:dyDescent="0.2">
      <c r="C46" t="s">
        <v>74</v>
      </c>
      <c r="D46">
        <v>2011</v>
      </c>
      <c r="E46">
        <v>5</v>
      </c>
      <c r="F46" s="96">
        <v>25614.36</v>
      </c>
      <c r="N46" s="39"/>
    </row>
    <row r="47" spans="3:14" x14ac:dyDescent="0.2">
      <c r="C47" t="s">
        <v>74</v>
      </c>
      <c r="D47">
        <v>2011</v>
      </c>
      <c r="E47">
        <v>6</v>
      </c>
      <c r="F47" s="96">
        <v>2008</v>
      </c>
      <c r="N47" s="39"/>
    </row>
    <row r="48" spans="3:14" x14ac:dyDescent="0.2">
      <c r="C48" t="s">
        <v>64</v>
      </c>
      <c r="D48">
        <v>2010</v>
      </c>
      <c r="E48">
        <v>1</v>
      </c>
      <c r="F48" s="96">
        <v>2021181.3</v>
      </c>
      <c r="N48" s="39"/>
    </row>
    <row r="49" spans="3:14" x14ac:dyDescent="0.2">
      <c r="C49" t="s">
        <v>64</v>
      </c>
      <c r="D49">
        <v>2010</v>
      </c>
      <c r="E49">
        <v>3</v>
      </c>
      <c r="F49" s="96">
        <v>2435</v>
      </c>
      <c r="N49" s="39"/>
    </row>
    <row r="50" spans="3:14" x14ac:dyDescent="0.2">
      <c r="C50" t="s">
        <v>64</v>
      </c>
      <c r="D50">
        <v>2011</v>
      </c>
      <c r="E50">
        <v>1</v>
      </c>
      <c r="F50" s="96">
        <v>4400</v>
      </c>
      <c r="N50" s="39"/>
    </row>
    <row r="51" spans="3:14" x14ac:dyDescent="0.2">
      <c r="C51" t="s">
        <v>64</v>
      </c>
      <c r="D51">
        <v>2011</v>
      </c>
      <c r="E51">
        <v>2</v>
      </c>
      <c r="F51" s="96">
        <v>16905</v>
      </c>
      <c r="N51" s="39"/>
    </row>
    <row r="52" spans="3:14" x14ac:dyDescent="0.2">
      <c r="C52" t="s">
        <v>64</v>
      </c>
      <c r="D52">
        <v>2011</v>
      </c>
      <c r="E52">
        <v>6</v>
      </c>
      <c r="F52" s="96">
        <v>167910</v>
      </c>
      <c r="N52" s="39"/>
    </row>
    <row r="53" spans="3:14" x14ac:dyDescent="0.2">
      <c r="C53" t="s">
        <v>62</v>
      </c>
      <c r="D53">
        <v>2010</v>
      </c>
      <c r="E53">
        <v>1</v>
      </c>
      <c r="F53" s="96">
        <v>114077.80999999998</v>
      </c>
      <c r="N53" s="39"/>
    </row>
    <row r="54" spans="3:14" x14ac:dyDescent="0.2">
      <c r="C54" t="s">
        <v>62</v>
      </c>
      <c r="D54">
        <v>2010</v>
      </c>
      <c r="E54">
        <v>2</v>
      </c>
      <c r="F54" s="96">
        <v>2234.4700000000003</v>
      </c>
      <c r="N54" s="39"/>
    </row>
    <row r="55" spans="3:14" x14ac:dyDescent="0.2">
      <c r="C55" t="s">
        <v>62</v>
      </c>
      <c r="D55">
        <v>2010</v>
      </c>
      <c r="E55">
        <v>3</v>
      </c>
      <c r="F55" s="96">
        <v>1365.81</v>
      </c>
      <c r="N55" s="39"/>
    </row>
    <row r="56" spans="3:14" x14ac:dyDescent="0.2">
      <c r="C56" t="s">
        <v>62</v>
      </c>
      <c r="D56">
        <v>2010</v>
      </c>
      <c r="E56">
        <v>4</v>
      </c>
      <c r="F56" s="96">
        <v>134</v>
      </c>
      <c r="N56" s="39"/>
    </row>
    <row r="57" spans="3:14" x14ac:dyDescent="0.2">
      <c r="C57" t="s">
        <v>62</v>
      </c>
      <c r="D57">
        <v>2010</v>
      </c>
      <c r="E57">
        <v>5</v>
      </c>
      <c r="F57" s="96">
        <v>85.71</v>
      </c>
      <c r="N57" s="39"/>
    </row>
    <row r="58" spans="3:14" x14ac:dyDescent="0.2">
      <c r="C58" t="s">
        <v>62</v>
      </c>
      <c r="D58">
        <v>2010</v>
      </c>
      <c r="E58">
        <v>6</v>
      </c>
      <c r="F58" s="96">
        <v>142.02000000000001</v>
      </c>
      <c r="N58" s="39"/>
    </row>
    <row r="59" spans="3:14" x14ac:dyDescent="0.2">
      <c r="C59" t="s">
        <v>62</v>
      </c>
      <c r="D59">
        <v>2010</v>
      </c>
      <c r="E59">
        <v>7</v>
      </c>
      <c r="F59" s="96">
        <v>424</v>
      </c>
      <c r="N59" s="39"/>
    </row>
    <row r="60" spans="3:14" x14ac:dyDescent="0.2">
      <c r="C60" t="s">
        <v>62</v>
      </c>
      <c r="D60">
        <v>2010</v>
      </c>
      <c r="E60">
        <v>12</v>
      </c>
      <c r="F60" s="96">
        <v>1158</v>
      </c>
      <c r="N60" s="39"/>
    </row>
    <row r="61" spans="3:14" x14ac:dyDescent="0.2">
      <c r="C61" t="s">
        <v>62</v>
      </c>
      <c r="D61">
        <v>2011</v>
      </c>
      <c r="E61">
        <v>1</v>
      </c>
      <c r="F61" s="96">
        <v>148</v>
      </c>
      <c r="N61" s="39"/>
    </row>
    <row r="62" spans="3:14" x14ac:dyDescent="0.2">
      <c r="C62" t="s">
        <v>62</v>
      </c>
      <c r="D62">
        <v>2011</v>
      </c>
      <c r="E62">
        <v>2</v>
      </c>
      <c r="F62" s="96">
        <v>676</v>
      </c>
      <c r="N62" s="39"/>
    </row>
    <row r="63" spans="3:14" x14ac:dyDescent="0.2">
      <c r="C63" t="s">
        <v>73</v>
      </c>
      <c r="D63">
        <v>2010</v>
      </c>
      <c r="E63">
        <v>1</v>
      </c>
      <c r="F63" s="96">
        <v>743.85</v>
      </c>
      <c r="N63" s="39"/>
    </row>
    <row r="64" spans="3:14" x14ac:dyDescent="0.2">
      <c r="C64" t="s">
        <v>67</v>
      </c>
      <c r="D64">
        <v>2010</v>
      </c>
      <c r="E64">
        <v>1</v>
      </c>
      <c r="F64" s="96">
        <v>1008464</v>
      </c>
      <c r="N64" s="39"/>
    </row>
    <row r="65" spans="3:14" x14ac:dyDescent="0.2">
      <c r="C65" t="s">
        <v>67</v>
      </c>
      <c r="D65">
        <v>2010</v>
      </c>
      <c r="E65">
        <v>5</v>
      </c>
      <c r="F65" s="96">
        <v>86031</v>
      </c>
      <c r="N65" s="39"/>
    </row>
    <row r="66" spans="3:14" x14ac:dyDescent="0.2">
      <c r="C66" t="s">
        <v>67</v>
      </c>
      <c r="D66">
        <v>2010</v>
      </c>
      <c r="E66">
        <v>9</v>
      </c>
      <c r="F66" s="96">
        <v>454683</v>
      </c>
      <c r="N66" s="39"/>
    </row>
    <row r="67" spans="3:14" x14ac:dyDescent="0.2">
      <c r="C67" t="s">
        <v>71</v>
      </c>
      <c r="D67">
        <v>2010</v>
      </c>
      <c r="E67">
        <v>1</v>
      </c>
      <c r="F67" s="96">
        <v>59837.000000000007</v>
      </c>
      <c r="N67" s="39"/>
    </row>
    <row r="68" spans="3:14" x14ac:dyDescent="0.2">
      <c r="C68" t="s">
        <v>71</v>
      </c>
      <c r="D68">
        <v>2010</v>
      </c>
      <c r="E68">
        <v>8</v>
      </c>
      <c r="F68" s="96">
        <v>3623.4</v>
      </c>
      <c r="N68" s="39"/>
    </row>
    <row r="69" spans="3:14" x14ac:dyDescent="0.2">
      <c r="C69" t="s">
        <v>63</v>
      </c>
      <c r="D69">
        <v>2010</v>
      </c>
      <c r="E69">
        <v>1</v>
      </c>
      <c r="F69" s="96">
        <v>52701.63</v>
      </c>
      <c r="N69" s="39"/>
    </row>
    <row r="70" spans="3:14" x14ac:dyDescent="0.2">
      <c r="C70" t="s">
        <v>63</v>
      </c>
      <c r="D70">
        <v>2010</v>
      </c>
      <c r="E70">
        <v>2</v>
      </c>
      <c r="F70" s="96">
        <v>5820.3</v>
      </c>
      <c r="N70" s="39"/>
    </row>
    <row r="71" spans="3:14" x14ac:dyDescent="0.2">
      <c r="C71" t="s">
        <v>63</v>
      </c>
      <c r="D71">
        <v>2010</v>
      </c>
      <c r="E71">
        <v>12</v>
      </c>
      <c r="F71" s="96">
        <v>16022.52</v>
      </c>
      <c r="N71" s="39"/>
    </row>
    <row r="72" spans="3:14" x14ac:dyDescent="0.2">
      <c r="C72" t="s">
        <v>63</v>
      </c>
      <c r="D72">
        <v>2011</v>
      </c>
      <c r="E72">
        <v>1</v>
      </c>
      <c r="F72" s="96">
        <v>601</v>
      </c>
      <c r="N72" s="39"/>
    </row>
    <row r="73" spans="3:14" x14ac:dyDescent="0.2">
      <c r="C73" t="s">
        <v>63</v>
      </c>
      <c r="D73">
        <v>2011</v>
      </c>
      <c r="E73">
        <v>2</v>
      </c>
      <c r="F73" s="96">
        <v>317</v>
      </c>
      <c r="N73" s="39"/>
    </row>
    <row r="74" spans="3:14" x14ac:dyDescent="0.2">
      <c r="C74" t="s">
        <v>63</v>
      </c>
      <c r="D74">
        <v>2011</v>
      </c>
      <c r="E74">
        <v>5</v>
      </c>
      <c r="F74" s="96">
        <v>380</v>
      </c>
      <c r="N74" s="39"/>
    </row>
    <row r="75" spans="3:14" x14ac:dyDescent="0.2">
      <c r="C75" t="s">
        <v>68</v>
      </c>
      <c r="D75">
        <v>2010</v>
      </c>
      <c r="E75">
        <v>1</v>
      </c>
      <c r="F75" s="96">
        <v>2352852</v>
      </c>
      <c r="N75" s="39"/>
    </row>
    <row r="76" spans="3:14" x14ac:dyDescent="0.2">
      <c r="C76" t="s">
        <v>68</v>
      </c>
      <c r="D76">
        <v>2010</v>
      </c>
      <c r="E76">
        <v>2</v>
      </c>
      <c r="F76" s="96">
        <v>12390</v>
      </c>
      <c r="N76" s="39"/>
    </row>
    <row r="77" spans="3:14" x14ac:dyDescent="0.2">
      <c r="C77" t="s">
        <v>68</v>
      </c>
      <c r="D77">
        <v>2010</v>
      </c>
      <c r="E77">
        <v>3</v>
      </c>
      <c r="F77" s="96">
        <v>3470</v>
      </c>
      <c r="N77" s="39"/>
    </row>
    <row r="78" spans="3:14" x14ac:dyDescent="0.2">
      <c r="C78" t="s">
        <v>68</v>
      </c>
      <c r="D78">
        <v>2010</v>
      </c>
      <c r="E78">
        <v>4</v>
      </c>
      <c r="F78" s="96">
        <v>5760</v>
      </c>
      <c r="N78" s="39"/>
    </row>
    <row r="79" spans="3:14" x14ac:dyDescent="0.2">
      <c r="C79" t="s">
        <v>68</v>
      </c>
      <c r="D79">
        <v>2010</v>
      </c>
      <c r="E79">
        <v>5</v>
      </c>
      <c r="F79" s="96">
        <v>4045</v>
      </c>
      <c r="N79" s="39"/>
    </row>
    <row r="80" spans="3:14" x14ac:dyDescent="0.2">
      <c r="C80" t="s">
        <v>68</v>
      </c>
      <c r="D80">
        <v>2010</v>
      </c>
      <c r="E80">
        <v>6</v>
      </c>
      <c r="F80" s="96">
        <v>10538</v>
      </c>
      <c r="N80" s="39"/>
    </row>
    <row r="81" spans="3:14" x14ac:dyDescent="0.2">
      <c r="C81" t="s">
        <v>68</v>
      </c>
      <c r="D81">
        <v>2010</v>
      </c>
      <c r="E81">
        <v>8</v>
      </c>
      <c r="F81" s="96">
        <v>1745</v>
      </c>
      <c r="N81" s="39"/>
    </row>
    <row r="82" spans="3:14" x14ac:dyDescent="0.2">
      <c r="C82" t="s">
        <v>68</v>
      </c>
      <c r="D82">
        <v>2010</v>
      </c>
      <c r="E82">
        <v>9</v>
      </c>
      <c r="F82" s="96">
        <v>2740</v>
      </c>
      <c r="N82" s="39"/>
    </row>
    <row r="83" spans="3:14" x14ac:dyDescent="0.2">
      <c r="C83" t="s">
        <v>68</v>
      </c>
      <c r="D83">
        <v>2010</v>
      </c>
      <c r="E83">
        <v>10</v>
      </c>
      <c r="F83" s="96">
        <v>1010</v>
      </c>
      <c r="N83" s="39"/>
    </row>
    <row r="84" spans="3:14" x14ac:dyDescent="0.2">
      <c r="C84" t="s">
        <v>68</v>
      </c>
      <c r="D84">
        <v>2011</v>
      </c>
      <c r="E84">
        <v>6</v>
      </c>
      <c r="F84" s="96">
        <v>2390</v>
      </c>
      <c r="N84" s="39"/>
    </row>
    <row r="85" spans="3:14" x14ac:dyDescent="0.2">
      <c r="C85" t="s">
        <v>72</v>
      </c>
      <c r="D85">
        <v>2010</v>
      </c>
      <c r="E85">
        <v>1</v>
      </c>
      <c r="F85" s="96">
        <v>155216.18</v>
      </c>
      <c r="N85" s="39"/>
    </row>
    <row r="86" spans="3:14" x14ac:dyDescent="0.2">
      <c r="C86" t="s">
        <v>72</v>
      </c>
      <c r="D86">
        <v>2010</v>
      </c>
      <c r="E86">
        <v>2</v>
      </c>
      <c r="F86" s="96">
        <v>1560.98</v>
      </c>
      <c r="N86" s="39"/>
    </row>
    <row r="87" spans="3:14" x14ac:dyDescent="0.2">
      <c r="C87" t="s">
        <v>72</v>
      </c>
      <c r="D87">
        <v>2011</v>
      </c>
      <c r="E87">
        <v>1</v>
      </c>
      <c r="F87" s="96">
        <v>6919.67</v>
      </c>
      <c r="N87" s="39"/>
    </row>
    <row r="88" spans="3:14" x14ac:dyDescent="0.2">
      <c r="C88" t="s">
        <v>69</v>
      </c>
      <c r="D88">
        <v>2010</v>
      </c>
      <c r="E88">
        <v>1</v>
      </c>
      <c r="F88" s="96">
        <v>2081574.13</v>
      </c>
      <c r="N88" s="39"/>
    </row>
    <row r="89" spans="3:14" x14ac:dyDescent="0.2">
      <c r="C89" t="s">
        <v>69</v>
      </c>
      <c r="D89">
        <v>2010</v>
      </c>
      <c r="E89">
        <v>2</v>
      </c>
      <c r="F89" s="96">
        <v>122313.12</v>
      </c>
      <c r="N89" s="39"/>
    </row>
    <row r="90" spans="3:14" x14ac:dyDescent="0.2">
      <c r="C90" t="s">
        <v>65</v>
      </c>
      <c r="D90">
        <v>2010</v>
      </c>
      <c r="E90">
        <v>1</v>
      </c>
      <c r="F90" s="96">
        <v>536841.86</v>
      </c>
      <c r="N90" s="39"/>
    </row>
    <row r="91" spans="3:14" x14ac:dyDescent="0.2">
      <c r="C91" t="s">
        <v>65</v>
      </c>
      <c r="D91">
        <v>2010</v>
      </c>
      <c r="E91">
        <v>2</v>
      </c>
      <c r="F91" s="96">
        <v>1976.19</v>
      </c>
      <c r="N91" s="39"/>
    </row>
    <row r="92" spans="3:14" x14ac:dyDescent="0.2">
      <c r="C92" t="s">
        <v>65</v>
      </c>
      <c r="D92">
        <v>2010</v>
      </c>
      <c r="E92">
        <v>10</v>
      </c>
      <c r="F92" s="96">
        <v>515</v>
      </c>
      <c r="N92" s="39"/>
    </row>
    <row r="93" spans="3:14" x14ac:dyDescent="0.2">
      <c r="C93" t="s">
        <v>60</v>
      </c>
      <c r="D93">
        <v>2010</v>
      </c>
      <c r="E93">
        <v>1</v>
      </c>
      <c r="F93" s="96">
        <v>6092615</v>
      </c>
      <c r="N93" s="39"/>
    </row>
    <row r="94" spans="3:14" x14ac:dyDescent="0.2">
      <c r="C94" t="s">
        <v>60</v>
      </c>
      <c r="D94">
        <v>2010</v>
      </c>
      <c r="E94">
        <v>2</v>
      </c>
      <c r="F94" s="96">
        <v>56593</v>
      </c>
      <c r="N94" s="39"/>
    </row>
    <row r="95" spans="3:14" x14ac:dyDescent="0.2">
      <c r="C95" t="s">
        <v>60</v>
      </c>
      <c r="D95">
        <v>2010</v>
      </c>
      <c r="E95">
        <v>3</v>
      </c>
      <c r="F95" s="96">
        <v>3375</v>
      </c>
      <c r="N95" s="39"/>
    </row>
    <row r="96" spans="3:14" x14ac:dyDescent="0.2">
      <c r="C96" t="s">
        <v>60</v>
      </c>
      <c r="D96">
        <v>2010</v>
      </c>
      <c r="E96">
        <v>4</v>
      </c>
      <c r="F96" s="96">
        <v>44520</v>
      </c>
      <c r="N96" s="39"/>
    </row>
    <row r="97" spans="3:14" x14ac:dyDescent="0.2">
      <c r="C97" t="s">
        <v>60</v>
      </c>
      <c r="D97">
        <v>2010</v>
      </c>
      <c r="E97">
        <v>5</v>
      </c>
      <c r="F97" s="96">
        <v>72918</v>
      </c>
      <c r="N97" s="39"/>
    </row>
    <row r="98" spans="3:14" x14ac:dyDescent="0.2">
      <c r="C98" t="s">
        <v>60</v>
      </c>
      <c r="D98">
        <v>2010</v>
      </c>
      <c r="E98">
        <v>6</v>
      </c>
      <c r="F98" s="96">
        <v>5478</v>
      </c>
      <c r="N98" s="39"/>
    </row>
    <row r="99" spans="3:14" x14ac:dyDescent="0.2">
      <c r="C99" t="s">
        <v>60</v>
      </c>
      <c r="D99">
        <v>2010</v>
      </c>
      <c r="E99">
        <v>8</v>
      </c>
      <c r="F99" s="96">
        <v>195212</v>
      </c>
      <c r="N99" s="39"/>
    </row>
    <row r="100" spans="3:14" x14ac:dyDescent="0.2">
      <c r="C100" t="s">
        <v>60</v>
      </c>
      <c r="D100">
        <v>2010</v>
      </c>
      <c r="E100">
        <v>9</v>
      </c>
      <c r="F100" s="96">
        <v>2479</v>
      </c>
      <c r="N100" s="39"/>
    </row>
    <row r="101" spans="3:14" x14ac:dyDescent="0.2">
      <c r="C101" t="s">
        <v>60</v>
      </c>
      <c r="D101">
        <v>2010</v>
      </c>
      <c r="E101">
        <v>11</v>
      </c>
      <c r="F101" s="96">
        <v>99805</v>
      </c>
      <c r="N101" s="39"/>
    </row>
    <row r="102" spans="3:14" x14ac:dyDescent="0.2">
      <c r="C102" t="s">
        <v>60</v>
      </c>
      <c r="D102">
        <v>2011</v>
      </c>
      <c r="E102">
        <v>2</v>
      </c>
      <c r="F102" s="96">
        <v>72002</v>
      </c>
      <c r="N102" s="39"/>
    </row>
    <row r="103" spans="3:14" x14ac:dyDescent="0.2">
      <c r="C103" t="s">
        <v>60</v>
      </c>
      <c r="D103">
        <v>2011</v>
      </c>
      <c r="E103">
        <v>3</v>
      </c>
      <c r="F103" s="96">
        <v>18835</v>
      </c>
      <c r="N103" s="39"/>
    </row>
    <row r="104" spans="3:14" x14ac:dyDescent="0.2">
      <c r="C104" t="s">
        <v>60</v>
      </c>
      <c r="D104">
        <v>2011</v>
      </c>
      <c r="E104">
        <v>4</v>
      </c>
      <c r="F104" s="96">
        <v>20863</v>
      </c>
      <c r="N104" s="39"/>
    </row>
    <row r="105" spans="3:14" x14ac:dyDescent="0.2">
      <c r="C105" t="s">
        <v>60</v>
      </c>
      <c r="D105">
        <v>2011</v>
      </c>
      <c r="E105">
        <v>5</v>
      </c>
      <c r="F105" s="96">
        <v>92160</v>
      </c>
      <c r="N105" s="39"/>
    </row>
    <row r="106" spans="3:14" x14ac:dyDescent="0.2">
      <c r="C106" t="s">
        <v>66</v>
      </c>
      <c r="D106">
        <v>2010</v>
      </c>
      <c r="E106">
        <v>1</v>
      </c>
      <c r="F106" s="96">
        <v>176506.29</v>
      </c>
      <c r="N106" s="39"/>
    </row>
    <row r="107" spans="3:14" x14ac:dyDescent="0.2">
      <c r="C107" t="s">
        <v>66</v>
      </c>
      <c r="D107">
        <v>2010</v>
      </c>
      <c r="E107">
        <v>3</v>
      </c>
      <c r="F107" s="96">
        <v>1086</v>
      </c>
      <c r="N107" s="39"/>
    </row>
    <row r="108" spans="3:14" x14ac:dyDescent="0.2">
      <c r="C108" t="s">
        <v>66</v>
      </c>
      <c r="D108">
        <v>2010</v>
      </c>
      <c r="E108">
        <v>10</v>
      </c>
      <c r="F108" s="96">
        <v>762</v>
      </c>
      <c r="N108" s="39"/>
    </row>
    <row r="109" spans="3:14" x14ac:dyDescent="0.2">
      <c r="C109" t="s">
        <v>66</v>
      </c>
      <c r="D109">
        <v>2010</v>
      </c>
      <c r="E109">
        <v>11</v>
      </c>
      <c r="F109" s="96">
        <v>124</v>
      </c>
      <c r="N109" s="39"/>
    </row>
    <row r="110" spans="3:14" x14ac:dyDescent="0.2">
      <c r="C110" t="s">
        <v>66</v>
      </c>
      <c r="D110">
        <v>2011</v>
      </c>
      <c r="E110">
        <v>1</v>
      </c>
      <c r="F110" s="96">
        <v>2384.6999999999998</v>
      </c>
      <c r="N110" s="39"/>
    </row>
    <row r="111" spans="3:14" x14ac:dyDescent="0.2">
      <c r="C111" t="s">
        <v>66</v>
      </c>
      <c r="D111">
        <v>2011</v>
      </c>
      <c r="E111">
        <v>2</v>
      </c>
      <c r="F111" s="96">
        <v>3427</v>
      </c>
      <c r="N111" s="39"/>
    </row>
    <row r="112" spans="3:14" x14ac:dyDescent="0.2">
      <c r="C112" t="s">
        <v>66</v>
      </c>
      <c r="D112">
        <v>2011</v>
      </c>
      <c r="E112">
        <v>3</v>
      </c>
      <c r="F112" s="96">
        <v>1749</v>
      </c>
      <c r="N112" s="39"/>
    </row>
    <row r="113" spans="3:14" x14ac:dyDescent="0.2">
      <c r="C113" t="s">
        <v>66</v>
      </c>
      <c r="D113">
        <v>2011</v>
      </c>
      <c r="E113">
        <v>5</v>
      </c>
      <c r="F113" s="96">
        <v>1921</v>
      </c>
      <c r="N113" s="39"/>
    </row>
    <row r="114" spans="3:14" x14ac:dyDescent="0.2">
      <c r="C114" t="s">
        <v>66</v>
      </c>
      <c r="D114">
        <v>2011</v>
      </c>
      <c r="E114">
        <v>6</v>
      </c>
      <c r="F114" s="96">
        <v>892</v>
      </c>
      <c r="N114" s="39"/>
    </row>
    <row r="115" spans="3:14" x14ac:dyDescent="0.2">
      <c r="C115" t="s">
        <v>61</v>
      </c>
      <c r="D115">
        <v>2010</v>
      </c>
      <c r="E115">
        <v>1</v>
      </c>
      <c r="F115" s="96">
        <v>682481.08</v>
      </c>
      <c r="N115" s="39"/>
    </row>
    <row r="116" spans="3:14" x14ac:dyDescent="0.2">
      <c r="C116" t="s">
        <v>61</v>
      </c>
      <c r="D116">
        <v>2010</v>
      </c>
      <c r="E116">
        <v>2</v>
      </c>
      <c r="F116" s="96">
        <v>2321</v>
      </c>
      <c r="N116" s="39"/>
    </row>
    <row r="117" spans="3:14" x14ac:dyDescent="0.2">
      <c r="C117" t="s">
        <v>61</v>
      </c>
      <c r="D117">
        <v>2010</v>
      </c>
      <c r="E117">
        <v>3</v>
      </c>
      <c r="F117" s="96">
        <v>3200</v>
      </c>
      <c r="N117" s="39"/>
    </row>
    <row r="118" spans="3:14" x14ac:dyDescent="0.2">
      <c r="C118" t="s">
        <v>61</v>
      </c>
      <c r="D118">
        <v>2010</v>
      </c>
      <c r="E118">
        <v>4</v>
      </c>
      <c r="F118" s="96">
        <v>384</v>
      </c>
      <c r="N118" s="39"/>
    </row>
    <row r="119" spans="3:14" x14ac:dyDescent="0.2">
      <c r="C119" t="s">
        <v>61</v>
      </c>
      <c r="D119">
        <v>2010</v>
      </c>
      <c r="E119">
        <v>6</v>
      </c>
      <c r="F119" s="96">
        <v>642.63</v>
      </c>
      <c r="N119" s="39"/>
    </row>
    <row r="120" spans="3:14" x14ac:dyDescent="0.2">
      <c r="C120" t="s">
        <v>61</v>
      </c>
      <c r="D120">
        <v>2010</v>
      </c>
      <c r="E120">
        <v>8</v>
      </c>
      <c r="F120" s="96">
        <v>561.48</v>
      </c>
      <c r="N120" s="39"/>
    </row>
    <row r="121" spans="3:14" x14ac:dyDescent="0.2">
      <c r="C121" t="s">
        <v>61</v>
      </c>
      <c r="D121">
        <v>2010</v>
      </c>
      <c r="E121">
        <v>9</v>
      </c>
      <c r="F121" s="96">
        <v>273120.40000000002</v>
      </c>
      <c r="N121" s="39"/>
    </row>
    <row r="122" spans="3:14" x14ac:dyDescent="0.2">
      <c r="C122" t="s">
        <v>61</v>
      </c>
      <c r="D122">
        <v>2010</v>
      </c>
      <c r="E122">
        <v>10</v>
      </c>
      <c r="F122" s="96">
        <v>3436.76</v>
      </c>
      <c r="N122" s="39"/>
    </row>
    <row r="123" spans="3:14" x14ac:dyDescent="0.2">
      <c r="C123" t="s">
        <v>61</v>
      </c>
      <c r="D123">
        <v>2010</v>
      </c>
      <c r="E123">
        <v>11</v>
      </c>
      <c r="F123" s="96">
        <v>143</v>
      </c>
      <c r="N123" s="39"/>
    </row>
    <row r="124" spans="3:14" x14ac:dyDescent="0.2">
      <c r="C124" t="s">
        <v>61</v>
      </c>
      <c r="D124">
        <v>2011</v>
      </c>
      <c r="E124">
        <v>3</v>
      </c>
      <c r="F124" s="96">
        <v>6269</v>
      </c>
      <c r="N124" s="39"/>
    </row>
    <row r="125" spans="3:14" x14ac:dyDescent="0.2">
      <c r="C125" t="s">
        <v>61</v>
      </c>
      <c r="D125">
        <v>2011</v>
      </c>
      <c r="E125">
        <v>4</v>
      </c>
      <c r="F125" s="96">
        <v>390</v>
      </c>
      <c r="N125" s="39"/>
    </row>
    <row r="126" spans="3:14" x14ac:dyDescent="0.2">
      <c r="C126" t="s">
        <v>61</v>
      </c>
      <c r="D126">
        <v>2011</v>
      </c>
      <c r="E126">
        <v>5</v>
      </c>
      <c r="F126" s="96">
        <v>73.5</v>
      </c>
      <c r="N126" s="39"/>
    </row>
    <row r="127" spans="3:14" x14ac:dyDescent="0.2">
      <c r="C127" t="s">
        <v>61</v>
      </c>
      <c r="D127">
        <v>2011</v>
      </c>
      <c r="E127">
        <v>6</v>
      </c>
      <c r="F127" s="96">
        <v>27221.66</v>
      </c>
      <c r="N127" s="39"/>
    </row>
    <row r="128" spans="3:14" x14ac:dyDescent="0.2">
      <c r="C128" t="s">
        <v>173</v>
      </c>
      <c r="F128" s="96">
        <v>17685194.559999995</v>
      </c>
      <c r="N128" s="39"/>
    </row>
    <row r="129" spans="14:14" x14ac:dyDescent="0.2">
      <c r="N129" s="39"/>
    </row>
    <row r="130" spans="14:14" x14ac:dyDescent="0.2">
      <c r="N130" s="39"/>
    </row>
    <row r="131" spans="14:14" x14ac:dyDescent="0.2">
      <c r="N131" s="39"/>
    </row>
    <row r="132" spans="14:14" x14ac:dyDescent="0.2">
      <c r="N132" s="39"/>
    </row>
    <row r="133" spans="14:14" x14ac:dyDescent="0.2">
      <c r="N133" s="39"/>
    </row>
    <row r="134" spans="14:14" x14ac:dyDescent="0.2">
      <c r="N134" s="39"/>
    </row>
    <row r="135" spans="14:14" x14ac:dyDescent="0.2">
      <c r="N135" s="39"/>
    </row>
    <row r="136" spans="14:14" x14ac:dyDescent="0.2">
      <c r="N136" s="39"/>
    </row>
    <row r="137" spans="14:14" x14ac:dyDescent="0.2">
      <c r="N137" s="39"/>
    </row>
    <row r="138" spans="14:14" x14ac:dyDescent="0.2">
      <c r="N138" s="39"/>
    </row>
    <row r="139" spans="14:14" x14ac:dyDescent="0.2">
      <c r="N139" s="39"/>
    </row>
    <row r="140" spans="14:14" x14ac:dyDescent="0.2">
      <c r="N140" s="39"/>
    </row>
    <row r="141" spans="14:14" x14ac:dyDescent="0.2">
      <c r="N141" s="39"/>
    </row>
    <row r="142" spans="14:14" x14ac:dyDescent="0.2">
      <c r="N142" s="39"/>
    </row>
    <row r="143" spans="14:14" x14ac:dyDescent="0.2">
      <c r="N143" s="39"/>
    </row>
    <row r="144" spans="14:14" x14ac:dyDescent="0.2">
      <c r="N144" s="39"/>
    </row>
    <row r="145" spans="14:14" x14ac:dyDescent="0.2">
      <c r="N145" s="39"/>
    </row>
    <row r="146" spans="14:14" x14ac:dyDescent="0.2">
      <c r="N146" s="39"/>
    </row>
    <row r="147" spans="14:14" x14ac:dyDescent="0.2">
      <c r="N147" s="39"/>
    </row>
    <row r="148" spans="14:14" x14ac:dyDescent="0.2">
      <c r="N148" s="39"/>
    </row>
    <row r="149" spans="14:14" x14ac:dyDescent="0.2">
      <c r="N149" s="39"/>
    </row>
    <row r="150" spans="14:14" x14ac:dyDescent="0.2">
      <c r="N150" s="39"/>
    </row>
    <row r="151" spans="14:14" x14ac:dyDescent="0.2">
      <c r="N151" s="39"/>
    </row>
    <row r="152" spans="14:14" x14ac:dyDescent="0.2">
      <c r="N152" s="39"/>
    </row>
    <row r="153" spans="14:14" x14ac:dyDescent="0.2">
      <c r="N153" s="39"/>
    </row>
    <row r="154" spans="14:14" x14ac:dyDescent="0.2">
      <c r="N154" s="39"/>
    </row>
    <row r="155" spans="14:14" x14ac:dyDescent="0.2">
      <c r="N155" s="39"/>
    </row>
    <row r="156" spans="14:14" x14ac:dyDescent="0.2">
      <c r="N156" s="39"/>
    </row>
    <row r="157" spans="14:14" x14ac:dyDescent="0.2">
      <c r="N157" s="39"/>
    </row>
    <row r="158" spans="14:14" x14ac:dyDescent="0.2">
      <c r="N158" s="39"/>
    </row>
    <row r="159" spans="14:14" x14ac:dyDescent="0.2">
      <c r="N159" s="39"/>
    </row>
    <row r="160" spans="14:14" x14ac:dyDescent="0.2">
      <c r="N160" s="39"/>
    </row>
    <row r="161" spans="14:14" x14ac:dyDescent="0.2">
      <c r="N161" s="39"/>
    </row>
    <row r="162" spans="14:14" x14ac:dyDescent="0.2">
      <c r="N162" s="39"/>
    </row>
    <row r="163" spans="14:14" x14ac:dyDescent="0.2">
      <c r="N163" s="39"/>
    </row>
    <row r="164" spans="14:14" x14ac:dyDescent="0.2">
      <c r="N164" s="39"/>
    </row>
    <row r="165" spans="14:14" x14ac:dyDescent="0.2">
      <c r="N165" s="39"/>
    </row>
    <row r="166" spans="14:14" x14ac:dyDescent="0.2">
      <c r="N166" s="39"/>
    </row>
    <row r="167" spans="14:14" x14ac:dyDescent="0.2">
      <c r="N167" s="39"/>
    </row>
    <row r="168" spans="14:14" x14ac:dyDescent="0.2">
      <c r="N168" s="39"/>
    </row>
    <row r="169" spans="14:14" x14ac:dyDescent="0.2">
      <c r="N169" s="39"/>
    </row>
    <row r="170" spans="14:14" x14ac:dyDescent="0.2">
      <c r="N170" s="39"/>
    </row>
    <row r="171" spans="14:14" x14ac:dyDescent="0.2">
      <c r="N171" s="39"/>
    </row>
    <row r="172" spans="14:14" x14ac:dyDescent="0.2">
      <c r="N172" s="39"/>
    </row>
    <row r="173" spans="14:14" x14ac:dyDescent="0.2">
      <c r="N173" s="39"/>
    </row>
    <row r="174" spans="14:14" x14ac:dyDescent="0.2">
      <c r="N174" s="39"/>
    </row>
    <row r="175" spans="14:14" x14ac:dyDescent="0.2">
      <c r="N175" s="39"/>
    </row>
    <row r="176" spans="14:14" x14ac:dyDescent="0.2">
      <c r="N176" s="39"/>
    </row>
    <row r="177" spans="14:14" x14ac:dyDescent="0.2">
      <c r="N177" s="39"/>
    </row>
    <row r="178" spans="14:14" x14ac:dyDescent="0.2">
      <c r="N178" s="39"/>
    </row>
    <row r="179" spans="14:14" x14ac:dyDescent="0.2">
      <c r="N179" s="39"/>
    </row>
    <row r="180" spans="14:14" x14ac:dyDescent="0.2">
      <c r="N180" s="39"/>
    </row>
    <row r="181" spans="14:14" x14ac:dyDescent="0.2">
      <c r="N181" s="39"/>
    </row>
    <row r="182" spans="14:14" x14ac:dyDescent="0.2">
      <c r="N182" s="39"/>
    </row>
    <row r="183" spans="14:14" x14ac:dyDescent="0.2">
      <c r="N183" s="39"/>
    </row>
    <row r="184" spans="14:14" x14ac:dyDescent="0.2">
      <c r="N184" s="39"/>
    </row>
    <row r="185" spans="14:14" x14ac:dyDescent="0.2">
      <c r="N185" s="39"/>
    </row>
    <row r="186" spans="14:14" x14ac:dyDescent="0.2">
      <c r="N186" s="39"/>
    </row>
    <row r="187" spans="14:14" x14ac:dyDescent="0.2">
      <c r="N187" s="39"/>
    </row>
    <row r="188" spans="14:14" x14ac:dyDescent="0.2">
      <c r="N188" s="39"/>
    </row>
    <row r="189" spans="14:14" x14ac:dyDescent="0.2">
      <c r="N189" s="39"/>
    </row>
    <row r="190" spans="14:14" x14ac:dyDescent="0.2">
      <c r="N190" s="39"/>
    </row>
    <row r="191" spans="14:14" x14ac:dyDescent="0.2">
      <c r="N191" s="39"/>
    </row>
    <row r="192" spans="14:14" x14ac:dyDescent="0.2">
      <c r="N192" s="39"/>
    </row>
    <row r="193" spans="14:14" x14ac:dyDescent="0.2">
      <c r="N193" s="39"/>
    </row>
    <row r="194" spans="14:14" x14ac:dyDescent="0.2">
      <c r="N194" s="39"/>
    </row>
    <row r="195" spans="14:14" x14ac:dyDescent="0.2">
      <c r="N195" s="39"/>
    </row>
    <row r="196" spans="14:14" x14ac:dyDescent="0.2">
      <c r="N196" s="39"/>
    </row>
    <row r="197" spans="14:14" x14ac:dyDescent="0.2">
      <c r="N197" s="39"/>
    </row>
    <row r="198" spans="14:14" x14ac:dyDescent="0.2">
      <c r="N198" s="39"/>
    </row>
    <row r="199" spans="14:14" x14ac:dyDescent="0.2">
      <c r="N199" s="39"/>
    </row>
    <row r="200" spans="14:14" x14ac:dyDescent="0.2">
      <c r="N200" s="39"/>
    </row>
    <row r="201" spans="14:14" x14ac:dyDescent="0.2">
      <c r="N201" s="39"/>
    </row>
    <row r="202" spans="14:14" x14ac:dyDescent="0.2">
      <c r="N202" s="39"/>
    </row>
    <row r="203" spans="14:14" x14ac:dyDescent="0.2">
      <c r="N203" s="39"/>
    </row>
    <row r="204" spans="14:14" x14ac:dyDescent="0.2">
      <c r="N204" s="39"/>
    </row>
    <row r="205" spans="14:14" x14ac:dyDescent="0.2">
      <c r="N205" s="39"/>
    </row>
    <row r="206" spans="14:14" x14ac:dyDescent="0.2">
      <c r="N206" s="39"/>
    </row>
    <row r="207" spans="14:14" x14ac:dyDescent="0.2">
      <c r="N207" s="39"/>
    </row>
    <row r="208" spans="14:14" x14ac:dyDescent="0.2">
      <c r="N208" s="39"/>
    </row>
    <row r="209" spans="14:14" x14ac:dyDescent="0.2">
      <c r="N209" s="39"/>
    </row>
    <row r="210" spans="14:14" x14ac:dyDescent="0.2">
      <c r="N210" s="39"/>
    </row>
    <row r="211" spans="14:14" x14ac:dyDescent="0.2">
      <c r="N211" s="39"/>
    </row>
    <row r="212" spans="14:14" x14ac:dyDescent="0.2">
      <c r="N212" s="39"/>
    </row>
    <row r="213" spans="14:14" x14ac:dyDescent="0.2">
      <c r="N213" s="39"/>
    </row>
    <row r="214" spans="14:14" x14ac:dyDescent="0.2">
      <c r="N214" s="39"/>
    </row>
    <row r="215" spans="14:14" x14ac:dyDescent="0.2">
      <c r="N215" s="39"/>
    </row>
    <row r="216" spans="14:14" x14ac:dyDescent="0.2">
      <c r="N216" s="39"/>
    </row>
    <row r="217" spans="14:14" x14ac:dyDescent="0.2">
      <c r="N217" s="39"/>
    </row>
    <row r="218" spans="14:14" x14ac:dyDescent="0.2">
      <c r="N218" s="39"/>
    </row>
    <row r="219" spans="14:14" x14ac:dyDescent="0.2">
      <c r="N219" s="39"/>
    </row>
    <row r="220" spans="14:14" x14ac:dyDescent="0.2">
      <c r="N220" s="39"/>
    </row>
    <row r="221" spans="14:14" x14ac:dyDescent="0.2">
      <c r="N221" s="39"/>
    </row>
    <row r="222" spans="14:14" x14ac:dyDescent="0.2">
      <c r="N222" s="39"/>
    </row>
    <row r="223" spans="14:14" x14ac:dyDescent="0.2">
      <c r="N223" s="39"/>
    </row>
    <row r="224" spans="14:14" x14ac:dyDescent="0.2">
      <c r="N224" s="39"/>
    </row>
    <row r="225" spans="14:14" x14ac:dyDescent="0.2">
      <c r="N225" s="39"/>
    </row>
    <row r="226" spans="14:14" x14ac:dyDescent="0.2">
      <c r="N226" s="39"/>
    </row>
    <row r="227" spans="14:14" x14ac:dyDescent="0.2">
      <c r="N227" s="39"/>
    </row>
    <row r="228" spans="14:14" x14ac:dyDescent="0.2">
      <c r="N228" s="39"/>
    </row>
    <row r="229" spans="14:14" x14ac:dyDescent="0.2">
      <c r="N229" s="39"/>
    </row>
    <row r="230" spans="14:14" x14ac:dyDescent="0.2">
      <c r="N230" s="39"/>
    </row>
    <row r="231" spans="14:14" x14ac:dyDescent="0.2">
      <c r="N231" s="39"/>
    </row>
    <row r="232" spans="14:14" x14ac:dyDescent="0.2">
      <c r="N232" s="39"/>
    </row>
    <row r="233" spans="14:14" x14ac:dyDescent="0.2">
      <c r="N233" s="39"/>
    </row>
    <row r="234" spans="14:14" x14ac:dyDescent="0.2">
      <c r="N234" s="39"/>
    </row>
    <row r="235" spans="14:14" x14ac:dyDescent="0.2">
      <c r="N235" s="39"/>
    </row>
    <row r="236" spans="14:14" x14ac:dyDescent="0.2">
      <c r="N236" s="39"/>
    </row>
    <row r="237" spans="14:14" x14ac:dyDescent="0.2">
      <c r="N237" s="39"/>
    </row>
    <row r="238" spans="14:14" x14ac:dyDescent="0.2">
      <c r="N238" s="39"/>
    </row>
    <row r="239" spans="14:14" x14ac:dyDescent="0.2">
      <c r="N239" s="39"/>
    </row>
    <row r="240" spans="14:14" x14ac:dyDescent="0.2">
      <c r="N240" s="39"/>
    </row>
    <row r="241" spans="14:14" x14ac:dyDescent="0.2">
      <c r="N241" s="39"/>
    </row>
    <row r="242" spans="14:14" x14ac:dyDescent="0.2">
      <c r="N242" s="39"/>
    </row>
    <row r="243" spans="14:14" x14ac:dyDescent="0.2">
      <c r="N243" s="39"/>
    </row>
    <row r="244" spans="14:14" x14ac:dyDescent="0.2">
      <c r="N244" s="39"/>
    </row>
    <row r="245" spans="14:14" x14ac:dyDescent="0.2">
      <c r="N245" s="39"/>
    </row>
    <row r="246" spans="14:14" x14ac:dyDescent="0.2">
      <c r="N246" s="39"/>
    </row>
    <row r="247" spans="14:14" x14ac:dyDescent="0.2">
      <c r="N247" s="39"/>
    </row>
    <row r="248" spans="14:14" x14ac:dyDescent="0.2">
      <c r="N248" s="39"/>
    </row>
    <row r="249" spans="14:14" x14ac:dyDescent="0.2">
      <c r="N249" s="39"/>
    </row>
    <row r="250" spans="14:14" x14ac:dyDescent="0.2">
      <c r="N250" s="39"/>
    </row>
    <row r="251" spans="14:14" x14ac:dyDescent="0.2">
      <c r="N251" s="39"/>
    </row>
    <row r="252" spans="14:14" x14ac:dyDescent="0.2">
      <c r="N252" s="39"/>
    </row>
    <row r="253" spans="14:14" x14ac:dyDescent="0.2">
      <c r="N253" s="39"/>
    </row>
    <row r="254" spans="14:14" x14ac:dyDescent="0.2">
      <c r="N254" s="39"/>
    </row>
    <row r="255" spans="14:14" x14ac:dyDescent="0.2">
      <c r="N255" s="39"/>
    </row>
    <row r="256" spans="14:14" x14ac:dyDescent="0.2">
      <c r="N256" s="39"/>
    </row>
    <row r="257" spans="14:14" x14ac:dyDescent="0.2">
      <c r="N257" s="39"/>
    </row>
    <row r="258" spans="14:14" x14ac:dyDescent="0.2">
      <c r="N258" s="39"/>
    </row>
    <row r="259" spans="14:14" x14ac:dyDescent="0.2">
      <c r="N259" s="39"/>
    </row>
    <row r="260" spans="14:14" x14ac:dyDescent="0.2">
      <c r="N260" s="39"/>
    </row>
    <row r="261" spans="14:14" x14ac:dyDescent="0.2">
      <c r="N261" s="39"/>
    </row>
    <row r="262" spans="14:14" x14ac:dyDescent="0.2">
      <c r="N262" s="39"/>
    </row>
    <row r="263" spans="14:14" x14ac:dyDescent="0.2">
      <c r="N263" s="39"/>
    </row>
    <row r="264" spans="14:14" x14ac:dyDescent="0.2">
      <c r="N264" s="39"/>
    </row>
    <row r="265" spans="14:14" x14ac:dyDescent="0.2">
      <c r="N265" s="39"/>
    </row>
    <row r="266" spans="14:14" x14ac:dyDescent="0.2">
      <c r="N266" s="39"/>
    </row>
    <row r="267" spans="14:14" x14ac:dyDescent="0.2">
      <c r="N267" s="39"/>
    </row>
    <row r="268" spans="14:14" x14ac:dyDescent="0.2">
      <c r="N268" s="39"/>
    </row>
    <row r="269" spans="14:14" x14ac:dyDescent="0.2">
      <c r="N269" s="39"/>
    </row>
    <row r="270" spans="14:14" x14ac:dyDescent="0.2">
      <c r="N270" s="39"/>
    </row>
    <row r="271" spans="14:14" x14ac:dyDescent="0.2">
      <c r="N271" s="39"/>
    </row>
    <row r="272" spans="14:14" x14ac:dyDescent="0.2">
      <c r="N272" s="39"/>
    </row>
    <row r="273" spans="14:14" x14ac:dyDescent="0.2">
      <c r="N273" s="39"/>
    </row>
    <row r="274" spans="14:14" x14ac:dyDescent="0.2">
      <c r="N274" s="39"/>
    </row>
    <row r="275" spans="14:14" x14ac:dyDescent="0.2">
      <c r="N275" s="39"/>
    </row>
    <row r="276" spans="14:14" x14ac:dyDescent="0.2">
      <c r="N276" s="39"/>
    </row>
    <row r="277" spans="14:14" x14ac:dyDescent="0.2">
      <c r="N277" s="39"/>
    </row>
    <row r="278" spans="14:14" x14ac:dyDescent="0.2">
      <c r="N278" s="39"/>
    </row>
    <row r="279" spans="14:14" x14ac:dyDescent="0.2">
      <c r="N279" s="39"/>
    </row>
    <row r="280" spans="14:14" x14ac:dyDescent="0.2">
      <c r="N280" s="39"/>
    </row>
    <row r="281" spans="14:14" x14ac:dyDescent="0.2">
      <c r="N281" s="39"/>
    </row>
    <row r="282" spans="14:14" x14ac:dyDescent="0.2">
      <c r="N282" s="39"/>
    </row>
    <row r="283" spans="14:14" x14ac:dyDescent="0.2">
      <c r="N283" s="39"/>
    </row>
    <row r="284" spans="14:14" x14ac:dyDescent="0.2">
      <c r="N284" s="39"/>
    </row>
    <row r="285" spans="14:14" x14ac:dyDescent="0.2">
      <c r="N285" s="39"/>
    </row>
    <row r="286" spans="14:14" x14ac:dyDescent="0.2">
      <c r="N286" s="39"/>
    </row>
    <row r="287" spans="14:14" x14ac:dyDescent="0.2">
      <c r="N287" s="39"/>
    </row>
    <row r="288" spans="14:14" x14ac:dyDescent="0.2">
      <c r="N288" s="39"/>
    </row>
    <row r="289" spans="14:14" x14ac:dyDescent="0.2">
      <c r="N289" s="39"/>
    </row>
    <row r="290" spans="14:14" x14ac:dyDescent="0.2">
      <c r="N290" s="39"/>
    </row>
    <row r="291" spans="14:14" x14ac:dyDescent="0.2">
      <c r="N291" s="39"/>
    </row>
    <row r="292" spans="14:14" x14ac:dyDescent="0.2">
      <c r="N292" s="39"/>
    </row>
    <row r="293" spans="14:14" x14ac:dyDescent="0.2">
      <c r="N293" s="39"/>
    </row>
    <row r="294" spans="14:14" x14ac:dyDescent="0.2">
      <c r="N294" s="39"/>
    </row>
    <row r="295" spans="14:14" x14ac:dyDescent="0.2">
      <c r="N295" s="39"/>
    </row>
    <row r="296" spans="14:14" x14ac:dyDescent="0.2">
      <c r="N296" s="39"/>
    </row>
    <row r="297" spans="14:14" x14ac:dyDescent="0.2">
      <c r="N297" s="39"/>
    </row>
    <row r="298" spans="14:14" x14ac:dyDescent="0.2">
      <c r="N298" s="39"/>
    </row>
    <row r="299" spans="14:14" x14ac:dyDescent="0.2">
      <c r="N299" s="39"/>
    </row>
    <row r="300" spans="14:14" x14ac:dyDescent="0.2">
      <c r="N300" s="39"/>
    </row>
    <row r="301" spans="14:14" x14ac:dyDescent="0.2">
      <c r="N301" s="39"/>
    </row>
    <row r="302" spans="14:14" x14ac:dyDescent="0.2">
      <c r="N302" s="39"/>
    </row>
    <row r="303" spans="14:14" x14ac:dyDescent="0.2">
      <c r="N303" s="39"/>
    </row>
    <row r="304" spans="14:14" x14ac:dyDescent="0.2">
      <c r="N304" s="39"/>
    </row>
    <row r="305" spans="14:14" x14ac:dyDescent="0.2">
      <c r="N305" s="39"/>
    </row>
    <row r="306" spans="14:14" x14ac:dyDescent="0.2">
      <c r="N306" s="39"/>
    </row>
    <row r="307" spans="14:14" x14ac:dyDescent="0.2">
      <c r="N307" s="39"/>
    </row>
    <row r="308" spans="14:14" x14ac:dyDescent="0.2">
      <c r="N308" s="39"/>
    </row>
    <row r="309" spans="14:14" x14ac:dyDescent="0.2">
      <c r="N309" s="39"/>
    </row>
    <row r="310" spans="14:14" x14ac:dyDescent="0.2">
      <c r="N310" s="39"/>
    </row>
    <row r="311" spans="14:14" x14ac:dyDescent="0.2">
      <c r="N311" s="39"/>
    </row>
    <row r="312" spans="14:14" x14ac:dyDescent="0.2">
      <c r="N312" s="39"/>
    </row>
    <row r="313" spans="14:14" x14ac:dyDescent="0.2">
      <c r="N313" s="39"/>
    </row>
    <row r="314" spans="14:14" x14ac:dyDescent="0.2">
      <c r="N314" s="39"/>
    </row>
    <row r="315" spans="14:14" x14ac:dyDescent="0.2">
      <c r="N315" s="39"/>
    </row>
    <row r="316" spans="14:14" x14ac:dyDescent="0.2">
      <c r="N316" s="39"/>
    </row>
    <row r="317" spans="14:14" x14ac:dyDescent="0.2">
      <c r="N317" s="39"/>
    </row>
    <row r="318" spans="14:14" x14ac:dyDescent="0.2">
      <c r="N318" s="39"/>
    </row>
    <row r="319" spans="14:14" x14ac:dyDescent="0.2">
      <c r="N319" s="39"/>
    </row>
    <row r="320" spans="14:14" x14ac:dyDescent="0.2">
      <c r="N320" s="39"/>
    </row>
    <row r="321" spans="14:14" x14ac:dyDescent="0.2">
      <c r="N321" s="39"/>
    </row>
    <row r="322" spans="14:14" x14ac:dyDescent="0.2">
      <c r="N322" s="39"/>
    </row>
    <row r="323" spans="14:14" x14ac:dyDescent="0.2">
      <c r="N323" s="39"/>
    </row>
    <row r="324" spans="14:14" x14ac:dyDescent="0.2">
      <c r="N324" s="39"/>
    </row>
    <row r="325" spans="14:14" x14ac:dyDescent="0.2">
      <c r="N325" s="39"/>
    </row>
    <row r="326" spans="14:14" x14ac:dyDescent="0.2">
      <c r="N326" s="39"/>
    </row>
    <row r="327" spans="14:14" x14ac:dyDescent="0.2">
      <c r="N327" s="39"/>
    </row>
    <row r="328" spans="14:14" x14ac:dyDescent="0.2">
      <c r="N328" s="39"/>
    </row>
    <row r="329" spans="14:14" x14ac:dyDescent="0.2">
      <c r="N329" s="39"/>
    </row>
    <row r="330" spans="14:14" x14ac:dyDescent="0.2">
      <c r="N330" s="39"/>
    </row>
    <row r="331" spans="14:14" x14ac:dyDescent="0.2">
      <c r="N331" s="39"/>
    </row>
    <row r="332" spans="14:14" x14ac:dyDescent="0.2">
      <c r="N332" s="39"/>
    </row>
    <row r="333" spans="14:14" x14ac:dyDescent="0.2">
      <c r="N333" s="39"/>
    </row>
    <row r="334" spans="14:14" x14ac:dyDescent="0.2">
      <c r="N334" s="39"/>
    </row>
    <row r="335" spans="14:14" x14ac:dyDescent="0.2">
      <c r="N335" s="39"/>
    </row>
    <row r="336" spans="14:14" x14ac:dyDescent="0.2">
      <c r="N336" s="39"/>
    </row>
    <row r="337" spans="14:14" x14ac:dyDescent="0.2">
      <c r="N337" s="39"/>
    </row>
    <row r="338" spans="14:14" x14ac:dyDescent="0.2">
      <c r="N338" s="39"/>
    </row>
    <row r="339" spans="14:14" x14ac:dyDescent="0.2">
      <c r="N339" s="39"/>
    </row>
    <row r="340" spans="14:14" x14ac:dyDescent="0.2">
      <c r="N340" s="39"/>
    </row>
    <row r="341" spans="14:14" x14ac:dyDescent="0.2">
      <c r="N341" s="39"/>
    </row>
    <row r="342" spans="14:14" x14ac:dyDescent="0.2">
      <c r="N342" s="39"/>
    </row>
    <row r="343" spans="14:14" x14ac:dyDescent="0.2">
      <c r="N343" s="39"/>
    </row>
    <row r="344" spans="14:14" x14ac:dyDescent="0.2">
      <c r="N344" s="39"/>
    </row>
    <row r="345" spans="14:14" x14ac:dyDescent="0.2">
      <c r="N345" s="39"/>
    </row>
    <row r="346" spans="14:14" x14ac:dyDescent="0.2">
      <c r="N346" s="39"/>
    </row>
    <row r="347" spans="14:14" x14ac:dyDescent="0.2">
      <c r="N347" s="39"/>
    </row>
    <row r="348" spans="14:14" x14ac:dyDescent="0.2">
      <c r="N348" s="39"/>
    </row>
    <row r="349" spans="14:14" x14ac:dyDescent="0.2">
      <c r="N349" s="39"/>
    </row>
    <row r="350" spans="14:14" x14ac:dyDescent="0.2">
      <c r="N350" s="39"/>
    </row>
    <row r="351" spans="14:14" x14ac:dyDescent="0.2">
      <c r="N351" s="39"/>
    </row>
    <row r="352" spans="14:14" x14ac:dyDescent="0.2">
      <c r="N352" s="39"/>
    </row>
    <row r="353" spans="14:14" x14ac:dyDescent="0.2">
      <c r="N353" s="39"/>
    </row>
    <row r="354" spans="14:14" x14ac:dyDescent="0.2">
      <c r="N354" s="39"/>
    </row>
    <row r="355" spans="14:14" x14ac:dyDescent="0.2">
      <c r="N355" s="39"/>
    </row>
    <row r="356" spans="14:14" x14ac:dyDescent="0.2">
      <c r="N356" s="39"/>
    </row>
    <row r="357" spans="14:14" x14ac:dyDescent="0.2">
      <c r="N357" s="39"/>
    </row>
    <row r="358" spans="14:14" x14ac:dyDescent="0.2">
      <c r="N358" s="39"/>
    </row>
    <row r="359" spans="14:14" x14ac:dyDescent="0.2">
      <c r="N359" s="39"/>
    </row>
    <row r="360" spans="14:14" x14ac:dyDescent="0.2">
      <c r="N360" s="39"/>
    </row>
    <row r="361" spans="14:14" x14ac:dyDescent="0.2">
      <c r="N361" s="39"/>
    </row>
    <row r="362" spans="14:14" x14ac:dyDescent="0.2">
      <c r="N362" s="39"/>
    </row>
    <row r="363" spans="14:14" x14ac:dyDescent="0.2">
      <c r="N363" s="39"/>
    </row>
    <row r="364" spans="14:14" x14ac:dyDescent="0.2">
      <c r="N364" s="39"/>
    </row>
    <row r="365" spans="14:14" x14ac:dyDescent="0.2">
      <c r="N365" s="39"/>
    </row>
    <row r="366" spans="14:14" x14ac:dyDescent="0.2">
      <c r="N366" s="39"/>
    </row>
    <row r="367" spans="14:14" x14ac:dyDescent="0.2">
      <c r="N367" s="39"/>
    </row>
    <row r="368" spans="14:14" x14ac:dyDescent="0.2">
      <c r="N368" s="39"/>
    </row>
    <row r="369" spans="14:14" x14ac:dyDescent="0.2">
      <c r="N369" s="39"/>
    </row>
    <row r="370" spans="14:14" x14ac:dyDescent="0.2">
      <c r="N370" s="39"/>
    </row>
    <row r="371" spans="14:14" x14ac:dyDescent="0.2">
      <c r="N371" s="39"/>
    </row>
    <row r="372" spans="14:14" x14ac:dyDescent="0.2">
      <c r="N372" s="39"/>
    </row>
    <row r="373" spans="14:14" x14ac:dyDescent="0.2">
      <c r="N373" s="39"/>
    </row>
    <row r="374" spans="14:14" x14ac:dyDescent="0.2">
      <c r="N374" s="39"/>
    </row>
    <row r="375" spans="14:14" x14ac:dyDescent="0.2">
      <c r="N375" s="39"/>
    </row>
    <row r="376" spans="14:14" x14ac:dyDescent="0.2">
      <c r="N376" s="39"/>
    </row>
    <row r="377" spans="14:14" x14ac:dyDescent="0.2">
      <c r="N377" s="39"/>
    </row>
    <row r="378" spans="14:14" x14ac:dyDescent="0.2">
      <c r="N378" s="39"/>
    </row>
    <row r="379" spans="14:14" x14ac:dyDescent="0.2">
      <c r="N379" s="39"/>
    </row>
    <row r="380" spans="14:14" x14ac:dyDescent="0.2">
      <c r="N380" s="39"/>
    </row>
    <row r="381" spans="14:14" x14ac:dyDescent="0.2">
      <c r="N381" s="39"/>
    </row>
    <row r="382" spans="14:14" x14ac:dyDescent="0.2">
      <c r="N382" s="39"/>
    </row>
    <row r="383" spans="14:14" x14ac:dyDescent="0.2">
      <c r="N383" s="39"/>
    </row>
    <row r="384" spans="14:14" x14ac:dyDescent="0.2">
      <c r="N384" s="39"/>
    </row>
    <row r="385" spans="14:14" x14ac:dyDescent="0.2">
      <c r="N385" s="39"/>
    </row>
    <row r="386" spans="14:14" x14ac:dyDescent="0.2">
      <c r="N386" s="39"/>
    </row>
    <row r="387" spans="14:14" x14ac:dyDescent="0.2">
      <c r="N387" s="39"/>
    </row>
    <row r="388" spans="14:14" x14ac:dyDescent="0.2">
      <c r="N388" s="39"/>
    </row>
    <row r="389" spans="14:14" x14ac:dyDescent="0.2">
      <c r="N389" s="39"/>
    </row>
    <row r="390" spans="14:14" x14ac:dyDescent="0.2">
      <c r="N390" s="39"/>
    </row>
    <row r="391" spans="14:14" x14ac:dyDescent="0.2">
      <c r="N391" s="39"/>
    </row>
    <row r="392" spans="14:14" x14ac:dyDescent="0.2">
      <c r="N392" s="39"/>
    </row>
    <row r="393" spans="14:14" x14ac:dyDescent="0.2">
      <c r="N393" s="39"/>
    </row>
    <row r="394" spans="14:14" x14ac:dyDescent="0.2">
      <c r="N394" s="39"/>
    </row>
    <row r="395" spans="14:14" x14ac:dyDescent="0.2">
      <c r="N395" s="39"/>
    </row>
    <row r="396" spans="14:14" x14ac:dyDescent="0.2">
      <c r="N396" s="39"/>
    </row>
    <row r="397" spans="14:14" x14ac:dyDescent="0.2">
      <c r="N397" s="39"/>
    </row>
    <row r="398" spans="14:14" x14ac:dyDescent="0.2">
      <c r="N398" s="39"/>
    </row>
    <row r="399" spans="14:14" x14ac:dyDescent="0.2">
      <c r="N399" s="39"/>
    </row>
    <row r="400" spans="14:14" x14ac:dyDescent="0.2">
      <c r="N400" s="39"/>
    </row>
    <row r="401" spans="2:15" x14ac:dyDescent="0.2">
      <c r="N401" s="39"/>
    </row>
    <row r="402" spans="2:15" x14ac:dyDescent="0.2">
      <c r="N402" s="39"/>
    </row>
    <row r="403" spans="2:15" x14ac:dyDescent="0.2">
      <c r="N403" s="39"/>
    </row>
    <row r="404" spans="2:15" x14ac:dyDescent="0.2">
      <c r="N404" s="39"/>
    </row>
    <row r="405" spans="2:15" x14ac:dyDescent="0.2">
      <c r="N405" s="39"/>
    </row>
    <row r="406" spans="2:15" x14ac:dyDescent="0.2">
      <c r="N406" s="39"/>
    </row>
    <row r="407" spans="2:15" x14ac:dyDescent="0.2">
      <c r="N407" s="39"/>
    </row>
    <row r="408" spans="2:15" x14ac:dyDescent="0.2">
      <c r="N408" s="39"/>
    </row>
    <row r="413" spans="2:15" x14ac:dyDescent="0.2">
      <c r="B413" s="94" t="s">
        <v>174</v>
      </c>
      <c r="C413" s="94" t="s">
        <v>171</v>
      </c>
    </row>
    <row r="414" spans="2:15" x14ac:dyDescent="0.2">
      <c r="B414" s="94" t="s">
        <v>172</v>
      </c>
      <c r="C414">
        <v>1</v>
      </c>
      <c r="D414">
        <v>2</v>
      </c>
      <c r="E414">
        <v>3</v>
      </c>
      <c r="F414">
        <v>4</v>
      </c>
      <c r="G414">
        <v>5</v>
      </c>
      <c r="H414">
        <v>6</v>
      </c>
      <c r="I414">
        <v>7</v>
      </c>
      <c r="J414">
        <v>8</v>
      </c>
      <c r="K414">
        <v>9</v>
      </c>
      <c r="L414">
        <v>10</v>
      </c>
      <c r="M414">
        <v>11</v>
      </c>
      <c r="N414">
        <v>12</v>
      </c>
      <c r="O414" t="s">
        <v>173</v>
      </c>
    </row>
    <row r="415" spans="2:15" x14ac:dyDescent="0.2">
      <c r="B415" s="95" t="s">
        <v>70</v>
      </c>
      <c r="C415" s="96">
        <v>3</v>
      </c>
      <c r="D415" s="96"/>
      <c r="E415" s="96">
        <v>3</v>
      </c>
      <c r="F415" s="96">
        <v>4</v>
      </c>
      <c r="G415" s="96">
        <v>5</v>
      </c>
      <c r="H415" s="96"/>
      <c r="I415" s="96"/>
      <c r="J415" s="96"/>
      <c r="K415" s="96"/>
      <c r="L415" s="96"/>
      <c r="M415" s="96"/>
      <c r="N415" s="96"/>
      <c r="O415" s="96">
        <v>15</v>
      </c>
    </row>
    <row r="416" spans="2:15" x14ac:dyDescent="0.2">
      <c r="B416" s="95" t="s">
        <v>74</v>
      </c>
      <c r="C416" s="96">
        <v>5</v>
      </c>
      <c r="D416" s="96">
        <v>2</v>
      </c>
      <c r="E416" s="96">
        <v>3</v>
      </c>
      <c r="F416" s="96">
        <v>12</v>
      </c>
      <c r="G416" s="96">
        <v>5</v>
      </c>
      <c r="H416" s="96">
        <v>6</v>
      </c>
      <c r="I416" s="96"/>
      <c r="J416" s="96"/>
      <c r="K416" s="96"/>
      <c r="L416" s="96">
        <v>10</v>
      </c>
      <c r="M416" s="96"/>
      <c r="N416" s="96"/>
      <c r="O416" s="96">
        <v>43</v>
      </c>
    </row>
    <row r="417" spans="2:15" x14ac:dyDescent="0.2">
      <c r="B417" s="95" t="s">
        <v>64</v>
      </c>
      <c r="C417" s="96">
        <v>13</v>
      </c>
      <c r="D417" s="96">
        <v>2</v>
      </c>
      <c r="E417" s="96">
        <v>3</v>
      </c>
      <c r="F417" s="96"/>
      <c r="G417" s="96"/>
      <c r="H417" s="96">
        <v>6</v>
      </c>
      <c r="I417" s="96"/>
      <c r="J417" s="96"/>
      <c r="K417" s="96"/>
      <c r="L417" s="96"/>
      <c r="M417" s="96"/>
      <c r="N417" s="96"/>
      <c r="O417" s="96">
        <v>24</v>
      </c>
    </row>
    <row r="418" spans="2:15" x14ac:dyDescent="0.2">
      <c r="B418" s="95" t="s">
        <v>62</v>
      </c>
      <c r="C418" s="96">
        <v>49</v>
      </c>
      <c r="D418" s="96">
        <v>8</v>
      </c>
      <c r="E418" s="96">
        <v>9</v>
      </c>
      <c r="F418" s="96">
        <v>4</v>
      </c>
      <c r="G418" s="96">
        <v>5</v>
      </c>
      <c r="H418" s="96">
        <v>12</v>
      </c>
      <c r="I418" s="96">
        <v>14</v>
      </c>
      <c r="J418" s="96"/>
      <c r="K418" s="96"/>
      <c r="L418" s="96"/>
      <c r="M418" s="96"/>
      <c r="N418" s="96">
        <v>24</v>
      </c>
      <c r="O418" s="96">
        <v>125</v>
      </c>
    </row>
    <row r="419" spans="2:15" x14ac:dyDescent="0.2">
      <c r="B419" s="95" t="s">
        <v>73</v>
      </c>
      <c r="C419" s="96">
        <v>3</v>
      </c>
      <c r="D419" s="96"/>
      <c r="E419" s="96"/>
      <c r="F419" s="96"/>
      <c r="G419" s="96"/>
      <c r="H419" s="96"/>
      <c r="I419" s="96"/>
      <c r="J419" s="96"/>
      <c r="K419" s="96"/>
      <c r="L419" s="96"/>
      <c r="M419" s="96"/>
      <c r="N419" s="96"/>
      <c r="O419" s="96">
        <v>3</v>
      </c>
    </row>
    <row r="420" spans="2:15" x14ac:dyDescent="0.2">
      <c r="B420" s="95" t="s">
        <v>67</v>
      </c>
      <c r="C420" s="96">
        <v>5</v>
      </c>
      <c r="D420" s="96"/>
      <c r="E420" s="96"/>
      <c r="F420" s="96"/>
      <c r="G420" s="96">
        <v>5</v>
      </c>
      <c r="H420" s="96"/>
      <c r="I420" s="96"/>
      <c r="J420" s="96"/>
      <c r="K420" s="96">
        <v>9</v>
      </c>
      <c r="L420" s="96"/>
      <c r="M420" s="96"/>
      <c r="N420" s="96"/>
      <c r="O420" s="96">
        <v>19</v>
      </c>
    </row>
    <row r="421" spans="2:15" x14ac:dyDescent="0.2">
      <c r="B421" s="95" t="s">
        <v>71</v>
      </c>
      <c r="C421" s="96">
        <v>9</v>
      </c>
      <c r="D421" s="96"/>
      <c r="E421" s="96"/>
      <c r="F421" s="96"/>
      <c r="G421" s="96"/>
      <c r="H421" s="96"/>
      <c r="I421" s="96"/>
      <c r="J421" s="96">
        <v>8</v>
      </c>
      <c r="K421" s="96"/>
      <c r="L421" s="96"/>
      <c r="M421" s="96"/>
      <c r="N421" s="96"/>
      <c r="O421" s="96">
        <v>17</v>
      </c>
    </row>
    <row r="422" spans="2:15" x14ac:dyDescent="0.2">
      <c r="B422" s="95" t="s">
        <v>63</v>
      </c>
      <c r="C422" s="96">
        <v>12</v>
      </c>
      <c r="D422" s="96">
        <v>6</v>
      </c>
      <c r="E422" s="96"/>
      <c r="F422" s="96"/>
      <c r="G422" s="96">
        <v>5</v>
      </c>
      <c r="H422" s="96"/>
      <c r="I422" s="96"/>
      <c r="J422" s="96"/>
      <c r="K422" s="96"/>
      <c r="L422" s="96"/>
      <c r="M422" s="96"/>
      <c r="N422" s="96">
        <v>24</v>
      </c>
      <c r="O422" s="96">
        <v>47</v>
      </c>
    </row>
    <row r="423" spans="2:15" x14ac:dyDescent="0.2">
      <c r="B423" s="95" t="s">
        <v>68</v>
      </c>
      <c r="C423" s="96">
        <v>25</v>
      </c>
      <c r="D423" s="96">
        <v>6</v>
      </c>
      <c r="E423" s="96">
        <v>3</v>
      </c>
      <c r="F423" s="96">
        <v>4</v>
      </c>
      <c r="G423" s="96">
        <v>10</v>
      </c>
      <c r="H423" s="96">
        <v>24</v>
      </c>
      <c r="I423" s="96"/>
      <c r="J423" s="96">
        <v>8</v>
      </c>
      <c r="K423" s="96">
        <v>9</v>
      </c>
      <c r="L423" s="96">
        <v>10</v>
      </c>
      <c r="M423" s="96"/>
      <c r="N423" s="96"/>
      <c r="O423" s="96">
        <v>99</v>
      </c>
    </row>
    <row r="424" spans="2:15" x14ac:dyDescent="0.2">
      <c r="B424" s="95" t="s">
        <v>72</v>
      </c>
      <c r="C424" s="96">
        <v>12</v>
      </c>
      <c r="D424" s="96">
        <v>2</v>
      </c>
      <c r="E424" s="96"/>
      <c r="F424" s="96"/>
      <c r="G424" s="96"/>
      <c r="H424" s="96"/>
      <c r="I424" s="96"/>
      <c r="J424" s="96"/>
      <c r="K424" s="96"/>
      <c r="L424" s="96"/>
      <c r="M424" s="96"/>
      <c r="N424" s="96"/>
      <c r="O424" s="96">
        <v>14</v>
      </c>
    </row>
    <row r="425" spans="2:15" x14ac:dyDescent="0.2">
      <c r="B425" s="95" t="s">
        <v>69</v>
      </c>
      <c r="C425" s="96">
        <v>8</v>
      </c>
      <c r="D425" s="96">
        <v>6</v>
      </c>
      <c r="E425" s="96"/>
      <c r="F425" s="96"/>
      <c r="G425" s="96"/>
      <c r="H425" s="96"/>
      <c r="I425" s="96"/>
      <c r="J425" s="96"/>
      <c r="K425" s="96"/>
      <c r="L425" s="96"/>
      <c r="M425" s="96"/>
      <c r="N425" s="96"/>
      <c r="O425" s="96">
        <v>14</v>
      </c>
    </row>
    <row r="426" spans="2:15" x14ac:dyDescent="0.2">
      <c r="B426" s="95" t="s">
        <v>65</v>
      </c>
      <c r="C426" s="96">
        <v>16</v>
      </c>
      <c r="D426" s="96">
        <v>6</v>
      </c>
      <c r="E426" s="96"/>
      <c r="F426" s="96"/>
      <c r="G426" s="96"/>
      <c r="H426" s="96"/>
      <c r="I426" s="96"/>
      <c r="J426" s="96"/>
      <c r="K426" s="96"/>
      <c r="L426" s="96">
        <v>10</v>
      </c>
      <c r="M426" s="96"/>
      <c r="N426" s="96"/>
      <c r="O426" s="96">
        <v>32</v>
      </c>
    </row>
    <row r="427" spans="2:15" x14ac:dyDescent="0.2">
      <c r="B427" s="95" t="s">
        <v>60</v>
      </c>
      <c r="C427" s="96">
        <v>69</v>
      </c>
      <c r="D427" s="96">
        <v>18</v>
      </c>
      <c r="E427" s="96">
        <v>15</v>
      </c>
      <c r="F427" s="96">
        <v>28</v>
      </c>
      <c r="G427" s="96">
        <v>40</v>
      </c>
      <c r="H427" s="96">
        <v>12</v>
      </c>
      <c r="I427" s="96"/>
      <c r="J427" s="96">
        <v>40</v>
      </c>
      <c r="K427" s="96">
        <v>9</v>
      </c>
      <c r="L427" s="96"/>
      <c r="M427" s="96">
        <v>44</v>
      </c>
      <c r="N427" s="96"/>
      <c r="O427" s="96">
        <v>275</v>
      </c>
    </row>
    <row r="428" spans="2:15" x14ac:dyDescent="0.2">
      <c r="B428" s="95" t="s">
        <v>66</v>
      </c>
      <c r="C428" s="96">
        <v>12</v>
      </c>
      <c r="D428" s="96">
        <v>6</v>
      </c>
      <c r="E428" s="96">
        <v>9</v>
      </c>
      <c r="F428" s="96"/>
      <c r="G428" s="96">
        <v>5</v>
      </c>
      <c r="H428" s="96">
        <v>6</v>
      </c>
      <c r="I428" s="96"/>
      <c r="J428" s="96"/>
      <c r="K428" s="96"/>
      <c r="L428" s="96">
        <v>20</v>
      </c>
      <c r="M428" s="96">
        <v>11</v>
      </c>
      <c r="N428" s="96"/>
      <c r="O428" s="96">
        <v>69</v>
      </c>
    </row>
    <row r="429" spans="2:15" x14ac:dyDescent="0.2">
      <c r="B429" s="95" t="s">
        <v>61</v>
      </c>
      <c r="C429" s="96">
        <v>26</v>
      </c>
      <c r="D429" s="96">
        <v>2</v>
      </c>
      <c r="E429" s="96">
        <v>6</v>
      </c>
      <c r="F429" s="96">
        <v>8</v>
      </c>
      <c r="G429" s="96">
        <v>5</v>
      </c>
      <c r="H429" s="96">
        <v>24</v>
      </c>
      <c r="I429" s="96"/>
      <c r="J429" s="96">
        <v>8</v>
      </c>
      <c r="K429" s="96">
        <v>63</v>
      </c>
      <c r="L429" s="96">
        <v>10</v>
      </c>
      <c r="M429" s="96">
        <v>11</v>
      </c>
      <c r="N429" s="96"/>
      <c r="O429" s="96">
        <v>163</v>
      </c>
    </row>
    <row r="430" spans="2:15" x14ac:dyDescent="0.2">
      <c r="B430" s="95" t="s">
        <v>173</v>
      </c>
      <c r="C430" s="96">
        <v>267</v>
      </c>
      <c r="D430" s="96">
        <v>64</v>
      </c>
      <c r="E430" s="96">
        <v>51</v>
      </c>
      <c r="F430" s="96">
        <v>60</v>
      </c>
      <c r="G430" s="96">
        <v>85</v>
      </c>
      <c r="H430" s="96">
        <v>90</v>
      </c>
      <c r="I430" s="96">
        <v>14</v>
      </c>
      <c r="J430" s="96">
        <v>64</v>
      </c>
      <c r="K430" s="96">
        <v>90</v>
      </c>
      <c r="L430" s="96">
        <v>60</v>
      </c>
      <c r="M430" s="96">
        <v>66</v>
      </c>
      <c r="N430" s="96">
        <v>48</v>
      </c>
      <c r="O430" s="96">
        <v>959</v>
      </c>
    </row>
  </sheetData>
  <pageMargins left="0.7" right="0.7" top="0.75" bottom="0.75" header="0.3" footer="0.3"/>
  <pageSetup orientation="portrait" r:id="rId4"/>
  <headerFooter>
    <oddFooter>&amp;L9/7/2017&amp;CAXP Internal&amp;R15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pageSetup orientation="portrait" horizontalDpi="90" verticalDpi="90" r:id="rId1"/>
  <headerFooter>
    <oddFooter>&amp;L9/7/2017&amp;CAXP Internal&amp;R16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pageSetup orientation="portrait" horizontalDpi="90" verticalDpi="90" r:id="rId1"/>
  <headerFooter>
    <oddFooter>&amp;L9/7/2017&amp;CAXP Internal&amp;R17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P56"/>
  <sheetViews>
    <sheetView showGridLines="0" workbookViewId="0"/>
  </sheetViews>
  <sheetFormatPr baseColWidth="10" defaultColWidth="8.83203125" defaultRowHeight="15" x14ac:dyDescent="0.2"/>
  <sheetData>
    <row r="1" spans="1:16" x14ac:dyDescent="0.2">
      <c r="A1" s="122"/>
    </row>
    <row r="2" spans="1:16" ht="23" x14ac:dyDescent="0.2">
      <c r="B2" s="61" t="s">
        <v>135</v>
      </c>
    </row>
    <row r="4" spans="1:16" x14ac:dyDescent="0.2">
      <c r="D4" t="s">
        <v>155</v>
      </c>
      <c r="P4" s="54" t="s">
        <v>138</v>
      </c>
    </row>
    <row r="5" spans="1:16" ht="19" x14ac:dyDescent="0.25">
      <c r="D5" s="104" t="s">
        <v>183</v>
      </c>
    </row>
    <row r="7" spans="1:16" x14ac:dyDescent="0.2">
      <c r="A7" s="71"/>
      <c r="D7" s="77"/>
    </row>
    <row r="8" spans="1:16" x14ac:dyDescent="0.2">
      <c r="A8" s="71"/>
      <c r="D8" s="77"/>
    </row>
    <row r="9" spans="1:16" x14ac:dyDescent="0.2">
      <c r="A9" s="71"/>
      <c r="D9" s="77"/>
    </row>
    <row r="10" spans="1:16" x14ac:dyDescent="0.2">
      <c r="A10" s="71"/>
      <c r="D10" s="77"/>
    </row>
    <row r="11" spans="1:16" x14ac:dyDescent="0.2">
      <c r="A11" s="71"/>
      <c r="D11" s="77"/>
    </row>
    <row r="12" spans="1:16" x14ac:dyDescent="0.2">
      <c r="A12" s="71"/>
      <c r="D12" s="77"/>
    </row>
    <row r="13" spans="1:16" x14ac:dyDescent="0.2">
      <c r="A13" s="71"/>
      <c r="D13" s="77"/>
    </row>
    <row r="14" spans="1:16" x14ac:dyDescent="0.2">
      <c r="A14" s="71"/>
      <c r="D14" s="77"/>
    </row>
    <row r="15" spans="1:16" x14ac:dyDescent="0.2">
      <c r="A15" s="71"/>
      <c r="D15" s="77"/>
    </row>
    <row r="16" spans="1:16" x14ac:dyDescent="0.2">
      <c r="A16" s="71"/>
      <c r="D16" s="77"/>
    </row>
    <row r="17" spans="1:4" x14ac:dyDescent="0.2">
      <c r="A17" s="71"/>
      <c r="D17" s="77"/>
    </row>
    <row r="18" spans="1:4" x14ac:dyDescent="0.2">
      <c r="A18" s="71"/>
      <c r="D18" s="77"/>
    </row>
    <row r="19" spans="1:4" x14ac:dyDescent="0.2">
      <c r="A19" s="71"/>
      <c r="D19" s="77"/>
    </row>
    <row r="20" spans="1:4" x14ac:dyDescent="0.2">
      <c r="A20" s="71"/>
      <c r="D20" s="77"/>
    </row>
    <row r="21" spans="1:4" x14ac:dyDescent="0.2">
      <c r="A21" s="71"/>
      <c r="D21" s="77"/>
    </row>
    <row r="22" spans="1:4" x14ac:dyDescent="0.2">
      <c r="A22" s="71"/>
      <c r="D22" s="77"/>
    </row>
    <row r="23" spans="1:4" x14ac:dyDescent="0.2">
      <c r="A23" s="71"/>
      <c r="D23" s="77"/>
    </row>
    <row r="24" spans="1:4" x14ac:dyDescent="0.2">
      <c r="A24" s="71"/>
      <c r="D24" s="77"/>
    </row>
    <row r="25" spans="1:4" x14ac:dyDescent="0.2">
      <c r="A25" s="71"/>
      <c r="D25" s="77"/>
    </row>
    <row r="26" spans="1:4" x14ac:dyDescent="0.2">
      <c r="A26" s="71"/>
      <c r="D26" s="77"/>
    </row>
    <row r="27" spans="1:4" x14ac:dyDescent="0.2">
      <c r="A27" s="71"/>
      <c r="D27" s="77"/>
    </row>
    <row r="28" spans="1:4" x14ac:dyDescent="0.2">
      <c r="A28" s="71"/>
      <c r="D28" s="77"/>
    </row>
    <row r="29" spans="1:4" x14ac:dyDescent="0.2">
      <c r="A29" s="71"/>
      <c r="D29" s="77"/>
    </row>
    <row r="30" spans="1:4" x14ac:dyDescent="0.2">
      <c r="A30" s="71"/>
      <c r="D30" s="77"/>
    </row>
    <row r="31" spans="1:4" x14ac:dyDescent="0.2">
      <c r="A31" s="71"/>
      <c r="D31" s="77"/>
    </row>
    <row r="32" spans="1:4" x14ac:dyDescent="0.2">
      <c r="A32" s="71"/>
      <c r="D32" s="77"/>
    </row>
    <row r="33" spans="1:4" x14ac:dyDescent="0.2">
      <c r="A33" s="71"/>
      <c r="D33" s="77"/>
    </row>
    <row r="34" spans="1:4" x14ac:dyDescent="0.2">
      <c r="A34" s="71"/>
      <c r="D34" s="77"/>
    </row>
    <row r="35" spans="1:4" x14ac:dyDescent="0.2">
      <c r="A35" s="71"/>
      <c r="D35" s="77"/>
    </row>
    <row r="36" spans="1:4" x14ac:dyDescent="0.2">
      <c r="A36" s="71"/>
      <c r="D36" s="77"/>
    </row>
    <row r="37" spans="1:4" x14ac:dyDescent="0.2">
      <c r="A37" s="71"/>
      <c r="D37" s="77"/>
    </row>
    <row r="38" spans="1:4" x14ac:dyDescent="0.2">
      <c r="A38" s="71"/>
      <c r="D38" s="77"/>
    </row>
    <row r="39" spans="1:4" x14ac:dyDescent="0.2">
      <c r="A39" s="71"/>
      <c r="D39" s="77"/>
    </row>
    <row r="40" spans="1:4" x14ac:dyDescent="0.2">
      <c r="A40" s="71"/>
      <c r="D40" s="77"/>
    </row>
    <row r="41" spans="1:4" x14ac:dyDescent="0.2">
      <c r="A41" s="71"/>
      <c r="D41" s="77"/>
    </row>
    <row r="42" spans="1:4" x14ac:dyDescent="0.2">
      <c r="A42" s="71"/>
      <c r="D42" s="77"/>
    </row>
    <row r="43" spans="1:4" x14ac:dyDescent="0.2">
      <c r="A43" s="71"/>
      <c r="D43" s="77"/>
    </row>
    <row r="44" spans="1:4" x14ac:dyDescent="0.2">
      <c r="A44" s="71"/>
      <c r="D44" s="77"/>
    </row>
    <row r="45" spans="1:4" x14ac:dyDescent="0.2">
      <c r="A45" s="71"/>
      <c r="D45" s="77"/>
    </row>
    <row r="46" spans="1:4" x14ac:dyDescent="0.2">
      <c r="A46" s="71"/>
      <c r="D46" s="77"/>
    </row>
    <row r="47" spans="1:4" x14ac:dyDescent="0.2">
      <c r="A47" s="71"/>
      <c r="D47" s="77"/>
    </row>
    <row r="48" spans="1:4" x14ac:dyDescent="0.2">
      <c r="A48" s="71"/>
      <c r="D48" s="77"/>
    </row>
    <row r="49" spans="1:4" x14ac:dyDescent="0.2">
      <c r="A49" s="71"/>
      <c r="D49" s="77"/>
    </row>
    <row r="50" spans="1:4" x14ac:dyDescent="0.2">
      <c r="A50" s="71"/>
      <c r="D50" s="77"/>
    </row>
    <row r="51" spans="1:4" x14ac:dyDescent="0.2">
      <c r="A51" s="71"/>
      <c r="D51" s="77"/>
    </row>
    <row r="52" spans="1:4" x14ac:dyDescent="0.2">
      <c r="A52" s="71"/>
      <c r="D52" s="77"/>
    </row>
    <row r="53" spans="1:4" x14ac:dyDescent="0.2">
      <c r="A53" s="71"/>
      <c r="D53" s="77"/>
    </row>
    <row r="54" spans="1:4" x14ac:dyDescent="0.2">
      <c r="A54" s="71"/>
      <c r="D54" s="77"/>
    </row>
    <row r="55" spans="1:4" x14ac:dyDescent="0.2">
      <c r="A55" s="71"/>
      <c r="D55" s="77"/>
    </row>
    <row r="56" spans="1:4" x14ac:dyDescent="0.2">
      <c r="A56" s="71"/>
      <c r="D56" s="77"/>
    </row>
  </sheetData>
  <conditionalFormatting sqref="B7:B56">
    <cfRule type="expression" dxfId="8" priority="1">
      <formula>$B7&gt;20</formula>
    </cfRule>
    <cfRule type="expression" dxfId="7" priority="2">
      <formula>$B7&gt;20</formula>
    </cfRule>
    <cfRule type="expression" dxfId="6" priority="3">
      <formula>$B7&gt;20</formula>
    </cfRule>
    <cfRule type="expression" dxfId="5" priority="4">
      <formula>$B7&gt;20</formula>
    </cfRule>
    <cfRule type="expression" dxfId="4" priority="5">
      <formula>$B7&gt;20</formula>
    </cfRule>
    <cfRule type="expression" dxfId="3" priority="6">
      <formula>$B7&gt;20</formula>
    </cfRule>
    <cfRule type="expression" dxfId="2" priority="7">
      <formula>$B7&gt;20</formula>
    </cfRule>
    <cfRule type="expression" dxfId="1" priority="8">
      <formula>$B7&gt;20</formula>
    </cfRule>
    <cfRule type="expression" dxfId="0" priority="9">
      <formula>$B7&gt;20</formula>
    </cfRule>
  </conditionalFormatting>
  <pageMargins left="0.7" right="0.7" top="0.75" bottom="0.75" header="0.3" footer="0.3"/>
  <pageSetup orientation="portrait" r:id="rId1"/>
  <headerFooter>
    <oddFooter>&amp;L9/7/2017&amp;CAXP Internal&amp;R19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nsertnumber_1_to_50">
                <anchor moveWithCells="1" sizeWithCells="1">
                  <from>
                    <xdr:col>8</xdr:col>
                    <xdr:colOff>215900</xdr:colOff>
                    <xdr:row>5</xdr:row>
                    <xdr:rowOff>101600</xdr:rowOff>
                  </from>
                  <to>
                    <xdr:col>10</xdr:col>
                    <xdr:colOff>63500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I400"/>
  <sheetViews>
    <sheetView zoomScale="110" zoomScaleNormal="110" workbookViewId="0"/>
  </sheetViews>
  <sheetFormatPr baseColWidth="10" defaultColWidth="8.83203125" defaultRowHeight="15" x14ac:dyDescent="0.2"/>
  <cols>
    <col min="1" max="1" width="14" bestFit="1" customWidth="1"/>
    <col min="2" max="2" width="7.1640625" customWidth="1"/>
    <col min="3" max="3" width="7" bestFit="1" customWidth="1"/>
    <col min="4" max="4" width="9.1640625" customWidth="1"/>
    <col min="5" max="5" width="13.33203125" customWidth="1"/>
    <col min="6" max="6" width="13" customWidth="1"/>
    <col min="7" max="7" width="12.5" customWidth="1"/>
    <col min="8" max="8" width="7.5" bestFit="1" customWidth="1"/>
    <col min="9" max="9" width="13.33203125" bestFit="1" customWidth="1"/>
    <col min="10" max="10" width="3" bestFit="1" customWidth="1"/>
    <col min="12" max="12" width="10.83203125" bestFit="1" customWidth="1"/>
    <col min="13" max="13" width="14" bestFit="1" customWidth="1"/>
  </cols>
  <sheetData>
    <row r="1" spans="1:9" x14ac:dyDescent="0.2">
      <c r="A1" s="54" t="s">
        <v>90</v>
      </c>
      <c r="B1" s="54" t="s">
        <v>91</v>
      </c>
      <c r="C1" s="54" t="s">
        <v>77</v>
      </c>
      <c r="D1" s="54" t="s">
        <v>92</v>
      </c>
      <c r="E1" s="54" t="s">
        <v>93</v>
      </c>
      <c r="F1" s="54" t="s">
        <v>96</v>
      </c>
      <c r="G1" s="54" t="s">
        <v>97</v>
      </c>
      <c r="H1" s="54" t="s">
        <v>94</v>
      </c>
      <c r="I1" s="54" t="s">
        <v>95</v>
      </c>
    </row>
    <row r="2" spans="1:9" x14ac:dyDescent="0.2">
      <c r="A2" t="s">
        <v>60</v>
      </c>
      <c r="B2">
        <v>2010</v>
      </c>
      <c r="C2">
        <v>4</v>
      </c>
      <c r="D2" s="39">
        <v>1</v>
      </c>
      <c r="E2" s="39">
        <v>2750</v>
      </c>
      <c r="F2" s="40">
        <v>39933</v>
      </c>
      <c r="G2" s="40">
        <v>40298</v>
      </c>
      <c r="H2" s="41" t="s">
        <v>78</v>
      </c>
      <c r="I2">
        <v>1614005737</v>
      </c>
    </row>
    <row r="3" spans="1:9" x14ac:dyDescent="0.2">
      <c r="A3" t="s">
        <v>60</v>
      </c>
      <c r="B3">
        <v>2010</v>
      </c>
      <c r="C3">
        <v>1</v>
      </c>
      <c r="D3" s="39">
        <v>5</v>
      </c>
      <c r="E3" s="39">
        <v>7595</v>
      </c>
      <c r="F3" s="40">
        <v>39933</v>
      </c>
      <c r="G3" s="40">
        <v>40298</v>
      </c>
      <c r="H3" s="41" t="s">
        <v>79</v>
      </c>
      <c r="I3">
        <v>1614105110</v>
      </c>
    </row>
    <row r="4" spans="1:9" x14ac:dyDescent="0.2">
      <c r="A4" t="s">
        <v>61</v>
      </c>
      <c r="B4">
        <v>2011</v>
      </c>
      <c r="C4">
        <v>3</v>
      </c>
      <c r="D4" s="39">
        <v>3</v>
      </c>
      <c r="E4" s="39">
        <v>6269</v>
      </c>
      <c r="F4" s="40">
        <v>39904</v>
      </c>
      <c r="G4" s="40">
        <v>40298</v>
      </c>
      <c r="H4" s="41" t="s">
        <v>78</v>
      </c>
      <c r="I4">
        <v>1327073134</v>
      </c>
    </row>
    <row r="5" spans="1:9" x14ac:dyDescent="0.2">
      <c r="A5" t="s">
        <v>61</v>
      </c>
      <c r="B5">
        <v>2010</v>
      </c>
      <c r="C5">
        <v>1</v>
      </c>
      <c r="D5" s="39">
        <v>119</v>
      </c>
      <c r="E5" s="39">
        <v>16843.400000000001</v>
      </c>
      <c r="F5" s="40">
        <v>39904</v>
      </c>
      <c r="G5" s="40">
        <v>40298</v>
      </c>
      <c r="H5" s="41" t="s">
        <v>79</v>
      </c>
      <c r="I5">
        <v>1307100158</v>
      </c>
    </row>
    <row r="6" spans="1:9" x14ac:dyDescent="0.2">
      <c r="A6" t="s">
        <v>61</v>
      </c>
      <c r="B6">
        <v>2010</v>
      </c>
      <c r="C6">
        <v>1</v>
      </c>
      <c r="D6" s="39">
        <v>195</v>
      </c>
      <c r="E6" s="39">
        <v>162848.97</v>
      </c>
      <c r="F6" s="40">
        <v>39904</v>
      </c>
      <c r="G6" s="40">
        <v>40298</v>
      </c>
      <c r="H6" s="41" t="s">
        <v>79</v>
      </c>
      <c r="I6">
        <v>1327000080</v>
      </c>
    </row>
    <row r="7" spans="1:9" x14ac:dyDescent="0.2">
      <c r="A7" t="s">
        <v>62</v>
      </c>
      <c r="B7">
        <v>2010</v>
      </c>
      <c r="C7">
        <v>1</v>
      </c>
      <c r="D7" s="39">
        <v>32</v>
      </c>
      <c r="E7" s="39">
        <v>21145.98</v>
      </c>
      <c r="F7" s="40">
        <v>39904</v>
      </c>
      <c r="G7" s="40">
        <v>40298</v>
      </c>
      <c r="H7" s="41" t="s">
        <v>79</v>
      </c>
      <c r="I7">
        <v>1550079668</v>
      </c>
    </row>
    <row r="8" spans="1:9" x14ac:dyDescent="0.2">
      <c r="A8" t="s">
        <v>62</v>
      </c>
      <c r="B8">
        <v>2010</v>
      </c>
      <c r="C8">
        <v>12</v>
      </c>
      <c r="D8" s="39">
        <v>1</v>
      </c>
      <c r="E8" s="39">
        <v>137</v>
      </c>
      <c r="F8" s="40">
        <v>39904</v>
      </c>
      <c r="G8" s="40">
        <v>40298</v>
      </c>
      <c r="H8" s="41" t="s">
        <v>78</v>
      </c>
      <c r="I8">
        <v>1550082381</v>
      </c>
    </row>
    <row r="9" spans="1:9" x14ac:dyDescent="0.2">
      <c r="A9" t="s">
        <v>63</v>
      </c>
      <c r="B9">
        <v>2010</v>
      </c>
      <c r="C9">
        <v>1</v>
      </c>
      <c r="D9" s="39">
        <v>16</v>
      </c>
      <c r="E9" s="39">
        <v>11574.47</v>
      </c>
      <c r="F9" s="40">
        <v>40042</v>
      </c>
      <c r="G9" s="40">
        <v>40421</v>
      </c>
      <c r="H9" s="41" t="s">
        <v>79</v>
      </c>
      <c r="I9">
        <v>1780534854</v>
      </c>
    </row>
    <row r="10" spans="1:9" x14ac:dyDescent="0.2">
      <c r="A10" t="s">
        <v>64</v>
      </c>
      <c r="B10">
        <v>2010</v>
      </c>
      <c r="C10">
        <v>1</v>
      </c>
      <c r="D10" s="39">
        <v>10</v>
      </c>
      <c r="E10" s="39">
        <v>74305</v>
      </c>
      <c r="F10" s="40">
        <v>39904</v>
      </c>
      <c r="G10" s="40">
        <v>40298</v>
      </c>
      <c r="H10" s="41" t="s">
        <v>79</v>
      </c>
      <c r="I10">
        <v>1660100002</v>
      </c>
    </row>
    <row r="11" spans="1:9" x14ac:dyDescent="0.2">
      <c r="A11" t="s">
        <v>60</v>
      </c>
      <c r="B11">
        <v>2010</v>
      </c>
      <c r="C11">
        <v>1</v>
      </c>
      <c r="D11" s="39">
        <v>33</v>
      </c>
      <c r="E11" s="39">
        <v>219335</v>
      </c>
      <c r="F11" s="40">
        <v>39904</v>
      </c>
      <c r="G11" s="40">
        <v>40298</v>
      </c>
      <c r="H11" s="41" t="s">
        <v>79</v>
      </c>
      <c r="I11">
        <v>1614118537</v>
      </c>
    </row>
    <row r="12" spans="1:9" x14ac:dyDescent="0.2">
      <c r="A12" t="s">
        <v>60</v>
      </c>
      <c r="B12">
        <v>2010</v>
      </c>
      <c r="C12">
        <v>1</v>
      </c>
      <c r="D12" s="39">
        <v>5</v>
      </c>
      <c r="E12" s="39">
        <v>44765</v>
      </c>
      <c r="F12" s="40">
        <v>39904</v>
      </c>
      <c r="G12" s="40">
        <v>40298</v>
      </c>
      <c r="H12" s="41" t="s">
        <v>79</v>
      </c>
      <c r="I12">
        <v>1614122656</v>
      </c>
    </row>
    <row r="13" spans="1:9" x14ac:dyDescent="0.2">
      <c r="A13" t="s">
        <v>60</v>
      </c>
      <c r="B13">
        <v>2010</v>
      </c>
      <c r="C13">
        <v>5</v>
      </c>
      <c r="D13" s="39">
        <v>3</v>
      </c>
      <c r="E13" s="39">
        <v>9940</v>
      </c>
      <c r="F13" s="40">
        <v>39904</v>
      </c>
      <c r="G13" s="40">
        <v>40298</v>
      </c>
      <c r="H13" s="41" t="s">
        <v>78</v>
      </c>
      <c r="I13">
        <v>1614005921</v>
      </c>
    </row>
    <row r="14" spans="1:9" x14ac:dyDescent="0.2">
      <c r="A14" t="s">
        <v>60</v>
      </c>
      <c r="B14">
        <v>2010</v>
      </c>
      <c r="C14">
        <v>5</v>
      </c>
      <c r="D14" s="39">
        <v>12</v>
      </c>
      <c r="E14" s="39">
        <v>43215</v>
      </c>
      <c r="F14" s="40">
        <v>39904</v>
      </c>
      <c r="G14" s="40">
        <v>40298</v>
      </c>
      <c r="H14" s="41" t="s">
        <v>78</v>
      </c>
      <c r="I14">
        <v>1614005922</v>
      </c>
    </row>
    <row r="15" spans="1:9" x14ac:dyDescent="0.2">
      <c r="A15" t="s">
        <v>61</v>
      </c>
      <c r="B15">
        <v>2010</v>
      </c>
      <c r="C15">
        <v>1</v>
      </c>
      <c r="D15" s="39">
        <v>240</v>
      </c>
      <c r="E15" s="39">
        <v>122600.18</v>
      </c>
      <c r="F15" s="40">
        <v>39904</v>
      </c>
      <c r="G15" s="40">
        <v>40298</v>
      </c>
      <c r="H15" s="41" t="s">
        <v>79</v>
      </c>
      <c r="I15">
        <v>1327071087</v>
      </c>
    </row>
    <row r="16" spans="1:9" x14ac:dyDescent="0.2">
      <c r="A16" t="s">
        <v>61</v>
      </c>
      <c r="B16">
        <v>2010</v>
      </c>
      <c r="C16">
        <v>1</v>
      </c>
      <c r="D16" s="39">
        <v>87</v>
      </c>
      <c r="E16" s="39">
        <v>35130.639999999999</v>
      </c>
      <c r="F16" s="40">
        <v>39904</v>
      </c>
      <c r="G16" s="40">
        <v>40298</v>
      </c>
      <c r="H16" s="41" t="s">
        <v>79</v>
      </c>
      <c r="I16">
        <v>1332771087</v>
      </c>
    </row>
    <row r="17" spans="1:9" x14ac:dyDescent="0.2">
      <c r="A17" t="s">
        <v>61</v>
      </c>
      <c r="B17">
        <v>2010</v>
      </c>
      <c r="C17">
        <v>1</v>
      </c>
      <c r="D17" s="39">
        <v>1</v>
      </c>
      <c r="E17" s="39">
        <v>66</v>
      </c>
      <c r="F17" s="40">
        <v>39904</v>
      </c>
      <c r="G17" s="40">
        <v>40298</v>
      </c>
      <c r="H17" s="41" t="s">
        <v>79</v>
      </c>
      <c r="I17">
        <v>1327071086</v>
      </c>
    </row>
    <row r="18" spans="1:9" x14ac:dyDescent="0.2">
      <c r="A18" t="s">
        <v>65</v>
      </c>
      <c r="B18">
        <v>2010</v>
      </c>
      <c r="C18">
        <v>1</v>
      </c>
      <c r="D18" s="39">
        <v>73</v>
      </c>
      <c r="E18" s="39">
        <v>5997.77</v>
      </c>
      <c r="F18" s="40">
        <v>39904</v>
      </c>
      <c r="G18" s="40">
        <v>40298</v>
      </c>
      <c r="H18" s="41" t="s">
        <v>79</v>
      </c>
      <c r="I18">
        <v>1721596901</v>
      </c>
    </row>
    <row r="19" spans="1:9" x14ac:dyDescent="0.2">
      <c r="A19" t="s">
        <v>62</v>
      </c>
      <c r="B19">
        <v>2010</v>
      </c>
      <c r="C19">
        <v>1</v>
      </c>
      <c r="D19" s="39">
        <v>53.857142857142861</v>
      </c>
      <c r="E19" s="39">
        <v>5921.25</v>
      </c>
      <c r="F19" s="40">
        <v>39904</v>
      </c>
      <c r="G19" s="40">
        <v>40298</v>
      </c>
      <c r="H19" s="41" t="s">
        <v>79</v>
      </c>
      <c r="I19">
        <v>1550074871</v>
      </c>
    </row>
    <row r="20" spans="1:9" x14ac:dyDescent="0.2">
      <c r="A20" t="s">
        <v>63</v>
      </c>
      <c r="B20">
        <v>2010</v>
      </c>
      <c r="C20">
        <v>1</v>
      </c>
      <c r="D20" s="39">
        <v>7</v>
      </c>
      <c r="E20" s="39">
        <v>1922.97</v>
      </c>
      <c r="F20" s="40">
        <v>39904</v>
      </c>
      <c r="G20" s="40">
        <v>40298</v>
      </c>
      <c r="H20" s="41" t="s">
        <v>79</v>
      </c>
      <c r="I20">
        <v>1783173067</v>
      </c>
    </row>
    <row r="21" spans="1:9" x14ac:dyDescent="0.2">
      <c r="A21" t="s">
        <v>60</v>
      </c>
      <c r="B21">
        <v>2010</v>
      </c>
      <c r="C21">
        <v>1</v>
      </c>
      <c r="D21" s="39">
        <v>29</v>
      </c>
      <c r="E21" s="39">
        <v>85515</v>
      </c>
      <c r="F21" s="40">
        <v>39905</v>
      </c>
      <c r="G21" s="40">
        <v>40298</v>
      </c>
      <c r="H21" s="41" t="s">
        <v>79</v>
      </c>
      <c r="I21">
        <v>1614003679</v>
      </c>
    </row>
    <row r="22" spans="1:9" x14ac:dyDescent="0.2">
      <c r="A22" t="s">
        <v>66</v>
      </c>
      <c r="B22">
        <v>2010</v>
      </c>
      <c r="C22">
        <v>10</v>
      </c>
      <c r="D22" s="39">
        <v>2</v>
      </c>
      <c r="E22" s="39">
        <v>337</v>
      </c>
      <c r="F22" s="40">
        <v>39910</v>
      </c>
      <c r="G22" s="40">
        <v>40298</v>
      </c>
      <c r="H22" s="41" t="s">
        <v>78</v>
      </c>
      <c r="I22">
        <v>1761290840</v>
      </c>
    </row>
    <row r="23" spans="1:9" x14ac:dyDescent="0.2">
      <c r="A23" t="s">
        <v>66</v>
      </c>
      <c r="B23">
        <v>2010</v>
      </c>
      <c r="C23">
        <v>1</v>
      </c>
      <c r="D23" s="39">
        <v>8</v>
      </c>
      <c r="E23" s="39">
        <v>2012</v>
      </c>
      <c r="F23" s="40">
        <v>39910</v>
      </c>
      <c r="G23" s="40">
        <v>40298</v>
      </c>
      <c r="H23" s="41" t="s">
        <v>79</v>
      </c>
      <c r="I23">
        <v>1761291502</v>
      </c>
    </row>
    <row r="24" spans="1:9" x14ac:dyDescent="0.2">
      <c r="A24" t="s">
        <v>67</v>
      </c>
      <c r="B24">
        <v>2010</v>
      </c>
      <c r="C24">
        <v>5</v>
      </c>
      <c r="D24" s="39">
        <v>2</v>
      </c>
      <c r="E24" s="39">
        <v>86031</v>
      </c>
      <c r="F24" s="40">
        <v>40325</v>
      </c>
      <c r="G24" s="40">
        <v>40694</v>
      </c>
      <c r="H24" s="41" t="s">
        <v>79</v>
      </c>
      <c r="I24">
        <v>48867012335</v>
      </c>
    </row>
    <row r="25" spans="1:9" x14ac:dyDescent="0.2">
      <c r="A25" t="s">
        <v>68</v>
      </c>
      <c r="B25">
        <v>2010</v>
      </c>
      <c r="C25">
        <v>1</v>
      </c>
      <c r="D25" s="39">
        <v>14</v>
      </c>
      <c r="E25" s="39">
        <v>10700</v>
      </c>
      <c r="F25" s="40">
        <v>39910</v>
      </c>
      <c r="G25" s="40">
        <v>40298</v>
      </c>
      <c r="H25" s="41" t="s">
        <v>79</v>
      </c>
      <c r="I25">
        <v>1654006486</v>
      </c>
    </row>
    <row r="26" spans="1:9" x14ac:dyDescent="0.2">
      <c r="A26" t="s">
        <v>60</v>
      </c>
      <c r="B26">
        <v>2010</v>
      </c>
      <c r="C26">
        <v>1</v>
      </c>
      <c r="D26" s="39">
        <v>53</v>
      </c>
      <c r="E26" s="39">
        <v>126811</v>
      </c>
      <c r="F26" s="40">
        <v>39904</v>
      </c>
      <c r="G26" s="40">
        <v>40298</v>
      </c>
      <c r="H26" s="41" t="s">
        <v>79</v>
      </c>
      <c r="I26">
        <v>1614004037</v>
      </c>
    </row>
    <row r="27" spans="1:9" x14ac:dyDescent="0.2">
      <c r="A27" t="s">
        <v>60</v>
      </c>
      <c r="B27">
        <v>2010</v>
      </c>
      <c r="C27">
        <v>1</v>
      </c>
      <c r="D27" s="39">
        <v>25</v>
      </c>
      <c r="E27" s="39">
        <v>45482</v>
      </c>
      <c r="F27" s="40">
        <v>39904</v>
      </c>
      <c r="G27" s="40">
        <v>40298</v>
      </c>
      <c r="H27" s="41" t="s">
        <v>79</v>
      </c>
      <c r="I27">
        <v>1614004035</v>
      </c>
    </row>
    <row r="28" spans="1:9" x14ac:dyDescent="0.2">
      <c r="A28" t="s">
        <v>60</v>
      </c>
      <c r="B28">
        <v>2010</v>
      </c>
      <c r="C28">
        <v>1</v>
      </c>
      <c r="D28" s="39">
        <v>1</v>
      </c>
      <c r="E28" s="39">
        <v>3465</v>
      </c>
      <c r="F28" s="40">
        <v>39904</v>
      </c>
      <c r="G28" s="40">
        <v>40298</v>
      </c>
      <c r="H28" s="41" t="s">
        <v>79</v>
      </c>
      <c r="I28">
        <v>1614004033</v>
      </c>
    </row>
    <row r="29" spans="1:9" x14ac:dyDescent="0.2">
      <c r="A29" t="s">
        <v>60</v>
      </c>
      <c r="B29">
        <v>2011</v>
      </c>
      <c r="C29">
        <v>3</v>
      </c>
      <c r="D29" s="39">
        <v>2</v>
      </c>
      <c r="E29" s="39">
        <v>1700</v>
      </c>
      <c r="F29" s="40">
        <v>39904</v>
      </c>
      <c r="G29" s="40">
        <v>40298</v>
      </c>
      <c r="H29" s="41" t="s">
        <v>78</v>
      </c>
      <c r="I29">
        <v>1614004408</v>
      </c>
    </row>
    <row r="30" spans="1:9" x14ac:dyDescent="0.2">
      <c r="A30" t="s">
        <v>60</v>
      </c>
      <c r="B30">
        <v>2010</v>
      </c>
      <c r="C30">
        <v>1</v>
      </c>
      <c r="D30" s="39">
        <v>158</v>
      </c>
      <c r="E30" s="39">
        <v>478417</v>
      </c>
      <c r="F30" s="40">
        <v>39904</v>
      </c>
      <c r="G30" s="40">
        <v>40298</v>
      </c>
      <c r="H30" s="41" t="s">
        <v>79</v>
      </c>
      <c r="I30">
        <v>1614004083</v>
      </c>
    </row>
    <row r="31" spans="1:9" x14ac:dyDescent="0.2">
      <c r="A31" t="s">
        <v>60</v>
      </c>
      <c r="B31">
        <v>2010</v>
      </c>
      <c r="C31">
        <v>1</v>
      </c>
      <c r="D31" s="39">
        <v>119</v>
      </c>
      <c r="E31" s="39">
        <v>254804</v>
      </c>
      <c r="F31" s="40">
        <v>39904</v>
      </c>
      <c r="G31" s="40">
        <v>40298</v>
      </c>
      <c r="H31" s="41" t="s">
        <v>79</v>
      </c>
      <c r="I31">
        <v>1614004036</v>
      </c>
    </row>
    <row r="32" spans="1:9" x14ac:dyDescent="0.2">
      <c r="A32" t="s">
        <v>60</v>
      </c>
      <c r="B32">
        <v>2010</v>
      </c>
      <c r="C32">
        <v>1</v>
      </c>
      <c r="D32" s="39">
        <v>6</v>
      </c>
      <c r="E32" s="39">
        <v>16875</v>
      </c>
      <c r="F32" s="40">
        <v>39904</v>
      </c>
      <c r="G32" s="40">
        <v>40298</v>
      </c>
      <c r="H32" s="41" t="s">
        <v>79</v>
      </c>
      <c r="I32">
        <v>1614004059</v>
      </c>
    </row>
    <row r="33" spans="1:9" x14ac:dyDescent="0.2">
      <c r="A33" t="s">
        <v>60</v>
      </c>
      <c r="B33">
        <v>2010</v>
      </c>
      <c r="C33">
        <v>5</v>
      </c>
      <c r="D33" s="39">
        <v>1</v>
      </c>
      <c r="E33" s="39">
        <v>3483</v>
      </c>
      <c r="F33" s="40">
        <v>39904</v>
      </c>
      <c r="G33" s="40">
        <v>40298</v>
      </c>
      <c r="H33" s="41" t="s">
        <v>79</v>
      </c>
      <c r="I33">
        <v>1614004034</v>
      </c>
    </row>
    <row r="34" spans="1:9" x14ac:dyDescent="0.2">
      <c r="A34" t="s">
        <v>60</v>
      </c>
      <c r="B34">
        <v>2010</v>
      </c>
      <c r="C34">
        <v>1</v>
      </c>
      <c r="D34" s="39">
        <v>4</v>
      </c>
      <c r="E34" s="39">
        <v>7396</v>
      </c>
      <c r="F34" s="40">
        <v>39904</v>
      </c>
      <c r="G34" s="40">
        <v>40298</v>
      </c>
      <c r="H34" s="41" t="s">
        <v>79</v>
      </c>
      <c r="I34">
        <v>1614004056</v>
      </c>
    </row>
    <row r="35" spans="1:9" x14ac:dyDescent="0.2">
      <c r="A35" t="s">
        <v>63</v>
      </c>
      <c r="B35">
        <v>2010</v>
      </c>
      <c r="C35">
        <v>1</v>
      </c>
      <c r="D35" s="39">
        <v>1</v>
      </c>
      <c r="E35" s="39">
        <v>970.5</v>
      </c>
      <c r="F35" s="40">
        <v>39905</v>
      </c>
      <c r="G35" s="40">
        <v>40298</v>
      </c>
      <c r="H35" s="41" t="s">
        <v>79</v>
      </c>
      <c r="I35">
        <v>1780507234</v>
      </c>
    </row>
    <row r="36" spans="1:9" x14ac:dyDescent="0.2">
      <c r="A36" t="s">
        <v>69</v>
      </c>
      <c r="B36">
        <v>2010</v>
      </c>
      <c r="C36">
        <v>1</v>
      </c>
      <c r="D36" s="39">
        <v>69</v>
      </c>
      <c r="E36" s="39">
        <v>988446</v>
      </c>
      <c r="F36" s="40">
        <v>39904</v>
      </c>
      <c r="G36" s="40">
        <v>40298</v>
      </c>
      <c r="H36" s="41" t="s">
        <v>79</v>
      </c>
      <c r="I36">
        <v>48907103913</v>
      </c>
    </row>
    <row r="37" spans="1:9" x14ac:dyDescent="0.2">
      <c r="A37" t="s">
        <v>69</v>
      </c>
      <c r="B37">
        <v>2010</v>
      </c>
      <c r="C37">
        <v>1</v>
      </c>
      <c r="D37" s="39">
        <v>9</v>
      </c>
      <c r="E37" s="39">
        <v>66480.44</v>
      </c>
      <c r="F37" s="40">
        <v>39904</v>
      </c>
      <c r="G37" s="40">
        <v>40298</v>
      </c>
      <c r="H37" s="41" t="s">
        <v>79</v>
      </c>
      <c r="I37">
        <v>48943403913</v>
      </c>
    </row>
    <row r="38" spans="1:9" x14ac:dyDescent="0.2">
      <c r="A38" t="s">
        <v>69</v>
      </c>
      <c r="B38">
        <v>2010</v>
      </c>
      <c r="C38">
        <v>1</v>
      </c>
      <c r="D38" s="39">
        <v>14</v>
      </c>
      <c r="E38" s="39">
        <v>95771.8</v>
      </c>
      <c r="F38" s="40">
        <v>39904</v>
      </c>
      <c r="G38" s="40">
        <v>40298</v>
      </c>
      <c r="H38" s="41" t="s">
        <v>79</v>
      </c>
      <c r="I38">
        <v>48943602747</v>
      </c>
    </row>
    <row r="39" spans="1:9" x14ac:dyDescent="0.2">
      <c r="A39" t="s">
        <v>60</v>
      </c>
      <c r="B39">
        <v>2010</v>
      </c>
      <c r="C39">
        <v>1</v>
      </c>
      <c r="D39" s="39">
        <v>40</v>
      </c>
      <c r="E39" s="39">
        <v>78800</v>
      </c>
      <c r="F39" s="40">
        <v>39904</v>
      </c>
      <c r="G39" s="40">
        <v>40298</v>
      </c>
      <c r="H39" s="41" t="s">
        <v>79</v>
      </c>
      <c r="I39">
        <v>1614004752</v>
      </c>
    </row>
    <row r="40" spans="1:9" x14ac:dyDescent="0.2">
      <c r="A40" t="s">
        <v>62</v>
      </c>
      <c r="B40">
        <v>2010</v>
      </c>
      <c r="C40">
        <v>6</v>
      </c>
      <c r="D40" s="39">
        <v>1</v>
      </c>
      <c r="E40" s="39">
        <v>100</v>
      </c>
      <c r="F40" s="40">
        <v>39904</v>
      </c>
      <c r="G40" s="40">
        <v>40298</v>
      </c>
      <c r="H40" s="41" t="s">
        <v>78</v>
      </c>
      <c r="I40">
        <v>1550075136</v>
      </c>
    </row>
    <row r="41" spans="1:9" x14ac:dyDescent="0.2">
      <c r="A41" t="s">
        <v>62</v>
      </c>
      <c r="B41">
        <v>2010</v>
      </c>
      <c r="C41">
        <v>1</v>
      </c>
      <c r="D41" s="39">
        <v>0</v>
      </c>
      <c r="E41" s="39">
        <v>0</v>
      </c>
      <c r="F41" s="40">
        <v>39904</v>
      </c>
      <c r="G41" s="40">
        <v>40298</v>
      </c>
      <c r="H41" s="41" t="s">
        <v>79</v>
      </c>
      <c r="I41">
        <v>1550075141</v>
      </c>
    </row>
    <row r="42" spans="1:9" x14ac:dyDescent="0.2">
      <c r="A42" t="s">
        <v>62</v>
      </c>
      <c r="B42">
        <v>2010</v>
      </c>
      <c r="C42">
        <v>1</v>
      </c>
      <c r="D42" s="39">
        <v>4</v>
      </c>
      <c r="E42" s="39">
        <v>472</v>
      </c>
      <c r="F42" s="40">
        <v>39904</v>
      </c>
      <c r="G42" s="40">
        <v>40298</v>
      </c>
      <c r="H42" s="41" t="s">
        <v>79</v>
      </c>
      <c r="I42">
        <v>1550071047</v>
      </c>
    </row>
    <row r="43" spans="1:9" x14ac:dyDescent="0.2">
      <c r="A43" t="s">
        <v>62</v>
      </c>
      <c r="B43">
        <v>2010</v>
      </c>
      <c r="C43">
        <v>1</v>
      </c>
      <c r="D43" s="39">
        <v>30.071428571428573</v>
      </c>
      <c r="E43" s="39">
        <v>1895.3500000000001</v>
      </c>
      <c r="F43" s="40">
        <v>39904</v>
      </c>
      <c r="G43" s="40">
        <v>40298</v>
      </c>
      <c r="H43" s="41" t="s">
        <v>79</v>
      </c>
      <c r="I43">
        <v>1550071041</v>
      </c>
    </row>
    <row r="44" spans="1:9" x14ac:dyDescent="0.2">
      <c r="A44" t="s">
        <v>62</v>
      </c>
      <c r="B44">
        <v>2010</v>
      </c>
      <c r="C44">
        <v>4</v>
      </c>
      <c r="D44" s="39">
        <v>1</v>
      </c>
      <c r="E44" s="39">
        <v>134</v>
      </c>
      <c r="F44" s="40">
        <v>39904</v>
      </c>
      <c r="G44" s="40">
        <v>40298</v>
      </c>
      <c r="H44" s="41" t="s">
        <v>79</v>
      </c>
      <c r="I44">
        <v>1550071173</v>
      </c>
    </row>
    <row r="45" spans="1:9" x14ac:dyDescent="0.2">
      <c r="A45" t="s">
        <v>62</v>
      </c>
      <c r="B45">
        <v>2010</v>
      </c>
      <c r="C45">
        <v>1</v>
      </c>
      <c r="D45" s="39">
        <v>1</v>
      </c>
      <c r="E45" s="39">
        <v>0</v>
      </c>
      <c r="F45" s="40">
        <v>39904</v>
      </c>
      <c r="G45" s="40">
        <v>40298</v>
      </c>
      <c r="H45" s="41" t="s">
        <v>79</v>
      </c>
      <c r="I45">
        <v>1550071245</v>
      </c>
    </row>
    <row r="46" spans="1:9" x14ac:dyDescent="0.2">
      <c r="A46" t="s">
        <v>62</v>
      </c>
      <c r="B46">
        <v>2010</v>
      </c>
      <c r="C46">
        <v>1</v>
      </c>
      <c r="D46" s="39">
        <v>3</v>
      </c>
      <c r="E46" s="39">
        <v>-3452</v>
      </c>
      <c r="F46" s="40">
        <v>39904</v>
      </c>
      <c r="G46" s="40">
        <v>40298</v>
      </c>
      <c r="H46" s="41" t="s">
        <v>79</v>
      </c>
      <c r="I46">
        <v>1550070865</v>
      </c>
    </row>
    <row r="47" spans="1:9" x14ac:dyDescent="0.2">
      <c r="A47" t="s">
        <v>62</v>
      </c>
      <c r="B47">
        <v>2010</v>
      </c>
      <c r="C47">
        <v>1</v>
      </c>
      <c r="D47" s="39">
        <v>5</v>
      </c>
      <c r="E47" s="39">
        <v>200</v>
      </c>
      <c r="F47" s="40">
        <v>39904</v>
      </c>
      <c r="G47" s="40">
        <v>40298</v>
      </c>
      <c r="H47" s="41" t="s">
        <v>79</v>
      </c>
      <c r="I47">
        <v>1550072975</v>
      </c>
    </row>
    <row r="48" spans="1:9" x14ac:dyDescent="0.2">
      <c r="A48" t="s">
        <v>62</v>
      </c>
      <c r="B48">
        <v>2010</v>
      </c>
      <c r="C48">
        <v>1</v>
      </c>
      <c r="D48" s="39">
        <v>1</v>
      </c>
      <c r="E48" s="39">
        <v>0</v>
      </c>
      <c r="F48" s="40">
        <v>39904</v>
      </c>
      <c r="G48" s="40">
        <v>40298</v>
      </c>
      <c r="H48" s="41" t="s">
        <v>79</v>
      </c>
      <c r="I48">
        <v>1550070862</v>
      </c>
    </row>
    <row r="49" spans="1:9" x14ac:dyDescent="0.2">
      <c r="A49" t="s">
        <v>62</v>
      </c>
      <c r="B49">
        <v>2010</v>
      </c>
      <c r="C49">
        <v>2</v>
      </c>
      <c r="D49" s="39">
        <v>3</v>
      </c>
      <c r="E49" s="39">
        <v>2114</v>
      </c>
      <c r="F49" s="40">
        <v>39904</v>
      </c>
      <c r="G49" s="40">
        <v>40298</v>
      </c>
      <c r="H49" s="41" t="s">
        <v>79</v>
      </c>
      <c r="I49">
        <v>1550071249</v>
      </c>
    </row>
    <row r="50" spans="1:9" x14ac:dyDescent="0.2">
      <c r="A50" t="s">
        <v>62</v>
      </c>
      <c r="B50">
        <v>2010</v>
      </c>
      <c r="C50">
        <v>1</v>
      </c>
      <c r="D50" s="39">
        <v>6</v>
      </c>
      <c r="E50" s="39">
        <v>3646</v>
      </c>
      <c r="F50" s="40">
        <v>39904</v>
      </c>
      <c r="G50" s="40">
        <v>40298</v>
      </c>
      <c r="H50" s="41" t="s">
        <v>79</v>
      </c>
      <c r="I50">
        <v>1550071033</v>
      </c>
    </row>
    <row r="51" spans="1:9" x14ac:dyDescent="0.2">
      <c r="A51" t="s">
        <v>62</v>
      </c>
      <c r="B51">
        <v>2010</v>
      </c>
      <c r="C51">
        <v>1</v>
      </c>
      <c r="D51" s="39">
        <v>2</v>
      </c>
      <c r="E51" s="39">
        <v>100</v>
      </c>
      <c r="F51" s="40">
        <v>39904</v>
      </c>
      <c r="G51" s="40">
        <v>40298</v>
      </c>
      <c r="H51" s="41" t="s">
        <v>79</v>
      </c>
      <c r="I51">
        <v>1550071035</v>
      </c>
    </row>
    <row r="52" spans="1:9" x14ac:dyDescent="0.2">
      <c r="A52" t="s">
        <v>62</v>
      </c>
      <c r="B52">
        <v>2010</v>
      </c>
      <c r="C52">
        <v>7</v>
      </c>
      <c r="D52" s="39">
        <v>1</v>
      </c>
      <c r="E52" s="39">
        <v>0</v>
      </c>
      <c r="F52" s="40">
        <v>39904</v>
      </c>
      <c r="G52" s="40">
        <v>40298</v>
      </c>
      <c r="H52" s="41" t="s">
        <v>78</v>
      </c>
      <c r="I52">
        <v>1550070895</v>
      </c>
    </row>
    <row r="53" spans="1:9" x14ac:dyDescent="0.2">
      <c r="A53" t="s">
        <v>62</v>
      </c>
      <c r="B53">
        <v>2010</v>
      </c>
      <c r="C53">
        <v>1</v>
      </c>
      <c r="D53" s="39">
        <v>1</v>
      </c>
      <c r="E53" s="39">
        <v>260</v>
      </c>
      <c r="F53" s="40">
        <v>39904</v>
      </c>
      <c r="G53" s="40">
        <v>40298</v>
      </c>
      <c r="H53" s="41" t="s">
        <v>79</v>
      </c>
      <c r="I53">
        <v>1550070896</v>
      </c>
    </row>
    <row r="54" spans="1:9" x14ac:dyDescent="0.2">
      <c r="A54" t="s">
        <v>62</v>
      </c>
      <c r="B54">
        <v>2010</v>
      </c>
      <c r="C54">
        <v>2</v>
      </c>
      <c r="D54" s="39">
        <v>1</v>
      </c>
      <c r="E54" s="39">
        <v>105.34</v>
      </c>
      <c r="F54" s="40">
        <v>39904</v>
      </c>
      <c r="G54" s="40">
        <v>40298</v>
      </c>
      <c r="H54" s="41" t="s">
        <v>79</v>
      </c>
      <c r="I54">
        <v>1550070897</v>
      </c>
    </row>
    <row r="55" spans="1:9" x14ac:dyDescent="0.2">
      <c r="A55" t="s">
        <v>62</v>
      </c>
      <c r="B55">
        <v>2010</v>
      </c>
      <c r="C55">
        <v>1</v>
      </c>
      <c r="D55" s="39">
        <v>1</v>
      </c>
      <c r="E55" s="39">
        <v>0</v>
      </c>
      <c r="F55" s="40">
        <v>39904</v>
      </c>
      <c r="G55" s="40">
        <v>40298</v>
      </c>
      <c r="H55" s="41" t="s">
        <v>79</v>
      </c>
      <c r="I55">
        <v>1550070854</v>
      </c>
    </row>
    <row r="56" spans="1:9" x14ac:dyDescent="0.2">
      <c r="A56" t="s">
        <v>62</v>
      </c>
      <c r="B56">
        <v>2010</v>
      </c>
      <c r="C56">
        <v>1</v>
      </c>
      <c r="D56" s="39">
        <v>1</v>
      </c>
      <c r="E56" s="39">
        <v>-515</v>
      </c>
      <c r="F56" s="40">
        <v>39904</v>
      </c>
      <c r="G56" s="40">
        <v>40298</v>
      </c>
      <c r="H56" s="41" t="s">
        <v>79</v>
      </c>
      <c r="I56">
        <v>1550071183</v>
      </c>
    </row>
    <row r="57" spans="1:9" x14ac:dyDescent="0.2">
      <c r="A57" t="s">
        <v>62</v>
      </c>
      <c r="B57">
        <v>2010</v>
      </c>
      <c r="C57">
        <v>1</v>
      </c>
      <c r="D57" s="39">
        <v>2</v>
      </c>
      <c r="E57" s="39">
        <v>50</v>
      </c>
      <c r="F57" s="40">
        <v>39904</v>
      </c>
      <c r="G57" s="40">
        <v>40298</v>
      </c>
      <c r="H57" s="41" t="s">
        <v>79</v>
      </c>
      <c r="I57">
        <v>1550072992</v>
      </c>
    </row>
    <row r="58" spans="1:9" x14ac:dyDescent="0.2">
      <c r="A58" t="s">
        <v>62</v>
      </c>
      <c r="B58">
        <v>2010</v>
      </c>
      <c r="C58">
        <v>1</v>
      </c>
      <c r="D58" s="39">
        <v>14</v>
      </c>
      <c r="E58" s="39">
        <v>1509.8</v>
      </c>
      <c r="F58" s="40">
        <v>39904</v>
      </c>
      <c r="G58" s="40">
        <v>40298</v>
      </c>
      <c r="H58" s="41" t="s">
        <v>79</v>
      </c>
      <c r="I58">
        <v>1550071116</v>
      </c>
    </row>
    <row r="59" spans="1:9" x14ac:dyDescent="0.2">
      <c r="A59" t="s">
        <v>62</v>
      </c>
      <c r="B59">
        <v>2010</v>
      </c>
      <c r="C59">
        <v>1</v>
      </c>
      <c r="D59" s="39">
        <v>2</v>
      </c>
      <c r="E59" s="39">
        <v>105.04</v>
      </c>
      <c r="F59" s="40">
        <v>39904</v>
      </c>
      <c r="G59" s="40">
        <v>40298</v>
      </c>
      <c r="H59" s="41" t="s">
        <v>79</v>
      </c>
      <c r="I59">
        <v>1550075131</v>
      </c>
    </row>
    <row r="60" spans="1:9" x14ac:dyDescent="0.2">
      <c r="A60" t="s">
        <v>62</v>
      </c>
      <c r="B60">
        <v>2010</v>
      </c>
      <c r="C60">
        <v>1</v>
      </c>
      <c r="D60" s="39">
        <v>2.0714285714285712</v>
      </c>
      <c r="E60" s="39">
        <v>214.28</v>
      </c>
      <c r="F60" s="40">
        <v>39904</v>
      </c>
      <c r="G60" s="40">
        <v>40298</v>
      </c>
      <c r="H60" s="41" t="s">
        <v>79</v>
      </c>
      <c r="I60">
        <v>1550071107</v>
      </c>
    </row>
    <row r="61" spans="1:9" x14ac:dyDescent="0.2">
      <c r="A61" t="s">
        <v>62</v>
      </c>
      <c r="B61">
        <v>2010</v>
      </c>
      <c r="C61">
        <v>1</v>
      </c>
      <c r="D61" s="39">
        <v>3</v>
      </c>
      <c r="E61" s="39">
        <v>-334</v>
      </c>
      <c r="F61" s="40">
        <v>39904</v>
      </c>
      <c r="G61" s="40">
        <v>40298</v>
      </c>
      <c r="H61" s="41" t="s">
        <v>79</v>
      </c>
      <c r="I61">
        <v>1550071171</v>
      </c>
    </row>
    <row r="62" spans="1:9" x14ac:dyDescent="0.2">
      <c r="A62" t="s">
        <v>62</v>
      </c>
      <c r="B62">
        <v>2010</v>
      </c>
      <c r="C62">
        <v>1</v>
      </c>
      <c r="D62" s="39">
        <v>4</v>
      </c>
      <c r="E62" s="39">
        <v>-644</v>
      </c>
      <c r="F62" s="40">
        <v>39904</v>
      </c>
      <c r="G62" s="40">
        <v>40298</v>
      </c>
      <c r="H62" s="41" t="s">
        <v>79</v>
      </c>
      <c r="I62">
        <v>1550071195</v>
      </c>
    </row>
    <row r="63" spans="1:9" x14ac:dyDescent="0.2">
      <c r="A63" t="s">
        <v>62</v>
      </c>
      <c r="B63">
        <v>2010</v>
      </c>
      <c r="C63">
        <v>6</v>
      </c>
      <c r="D63" s="39">
        <v>1</v>
      </c>
      <c r="E63" s="39">
        <v>42.02</v>
      </c>
      <c r="F63" s="40">
        <v>39904</v>
      </c>
      <c r="G63" s="40">
        <v>40298</v>
      </c>
      <c r="H63" s="41" t="s">
        <v>78</v>
      </c>
      <c r="I63">
        <v>1550075144</v>
      </c>
    </row>
    <row r="64" spans="1:9" x14ac:dyDescent="0.2">
      <c r="A64" t="s">
        <v>62</v>
      </c>
      <c r="B64">
        <v>2010</v>
      </c>
      <c r="C64">
        <v>1</v>
      </c>
      <c r="D64" s="39">
        <v>0</v>
      </c>
      <c r="E64" s="39">
        <v>0</v>
      </c>
      <c r="F64" s="40">
        <v>39904</v>
      </c>
      <c r="G64" s="40">
        <v>40298</v>
      </c>
      <c r="H64" s="41" t="s">
        <v>79</v>
      </c>
      <c r="I64">
        <v>1550071049</v>
      </c>
    </row>
    <row r="65" spans="1:9" x14ac:dyDescent="0.2">
      <c r="A65" t="s">
        <v>62</v>
      </c>
      <c r="B65">
        <v>2010</v>
      </c>
      <c r="C65">
        <v>1</v>
      </c>
      <c r="D65" s="39">
        <v>0</v>
      </c>
      <c r="E65" s="39">
        <v>0</v>
      </c>
      <c r="F65" s="40">
        <v>39904</v>
      </c>
      <c r="G65" s="40">
        <v>40298</v>
      </c>
      <c r="H65" s="41" t="s">
        <v>79</v>
      </c>
      <c r="I65">
        <v>1550075137</v>
      </c>
    </row>
    <row r="66" spans="1:9" x14ac:dyDescent="0.2">
      <c r="A66" t="s">
        <v>62</v>
      </c>
      <c r="B66">
        <v>2010</v>
      </c>
      <c r="C66">
        <v>1</v>
      </c>
      <c r="D66" s="39">
        <v>4</v>
      </c>
      <c r="E66" s="39">
        <v>602</v>
      </c>
      <c r="F66" s="40">
        <v>39904</v>
      </c>
      <c r="G66" s="40">
        <v>40298</v>
      </c>
      <c r="H66" s="41" t="s">
        <v>79</v>
      </c>
      <c r="I66">
        <v>1550071213</v>
      </c>
    </row>
    <row r="67" spans="1:9" x14ac:dyDescent="0.2">
      <c r="A67" t="s">
        <v>62</v>
      </c>
      <c r="B67">
        <v>2010</v>
      </c>
      <c r="C67">
        <v>1</v>
      </c>
      <c r="D67" s="39">
        <v>1</v>
      </c>
      <c r="E67" s="39">
        <v>42.02</v>
      </c>
      <c r="F67" s="40">
        <v>39904</v>
      </c>
      <c r="G67" s="40">
        <v>40298</v>
      </c>
      <c r="H67" s="41" t="s">
        <v>79</v>
      </c>
      <c r="I67">
        <v>1550071004</v>
      </c>
    </row>
    <row r="68" spans="1:9" x14ac:dyDescent="0.2">
      <c r="A68" t="s">
        <v>62</v>
      </c>
      <c r="B68">
        <v>2010</v>
      </c>
      <c r="C68">
        <v>1</v>
      </c>
      <c r="D68" s="39">
        <v>6</v>
      </c>
      <c r="E68" s="39">
        <v>-75</v>
      </c>
      <c r="F68" s="40">
        <v>39904</v>
      </c>
      <c r="G68" s="40">
        <v>40298</v>
      </c>
      <c r="H68" s="41" t="s">
        <v>79</v>
      </c>
      <c r="I68">
        <v>1550071022</v>
      </c>
    </row>
    <row r="69" spans="1:9" x14ac:dyDescent="0.2">
      <c r="A69" t="s">
        <v>62</v>
      </c>
      <c r="B69">
        <v>2010</v>
      </c>
      <c r="C69">
        <v>1</v>
      </c>
      <c r="D69" s="39">
        <v>2</v>
      </c>
      <c r="E69" s="39">
        <v>0</v>
      </c>
      <c r="F69" s="40">
        <v>39904</v>
      </c>
      <c r="G69" s="40">
        <v>40298</v>
      </c>
      <c r="H69" s="41" t="s">
        <v>79</v>
      </c>
      <c r="I69">
        <v>1550071051</v>
      </c>
    </row>
    <row r="70" spans="1:9" x14ac:dyDescent="0.2">
      <c r="A70" t="s">
        <v>62</v>
      </c>
      <c r="B70">
        <v>2010</v>
      </c>
      <c r="C70">
        <v>1</v>
      </c>
      <c r="D70" s="39">
        <v>1</v>
      </c>
      <c r="E70" s="39">
        <v>0</v>
      </c>
      <c r="F70" s="40">
        <v>39904</v>
      </c>
      <c r="G70" s="40">
        <v>40298</v>
      </c>
      <c r="H70" s="41" t="s">
        <v>79</v>
      </c>
      <c r="I70">
        <v>1550071063</v>
      </c>
    </row>
    <row r="71" spans="1:9" x14ac:dyDescent="0.2">
      <c r="A71" t="s">
        <v>62</v>
      </c>
      <c r="B71">
        <v>2010</v>
      </c>
      <c r="C71">
        <v>1</v>
      </c>
      <c r="D71" s="39">
        <v>1</v>
      </c>
      <c r="E71" s="39">
        <v>8</v>
      </c>
      <c r="F71" s="40">
        <v>39904</v>
      </c>
      <c r="G71" s="40">
        <v>40298</v>
      </c>
      <c r="H71" s="41" t="s">
        <v>79</v>
      </c>
      <c r="I71">
        <v>1550071070</v>
      </c>
    </row>
    <row r="72" spans="1:9" x14ac:dyDescent="0.2">
      <c r="A72" t="s">
        <v>62</v>
      </c>
      <c r="B72">
        <v>2010</v>
      </c>
      <c r="C72">
        <v>1</v>
      </c>
      <c r="D72" s="39">
        <v>1</v>
      </c>
      <c r="E72" s="39">
        <v>-184</v>
      </c>
      <c r="F72" s="40">
        <v>39904</v>
      </c>
      <c r="G72" s="40">
        <v>40298</v>
      </c>
      <c r="H72" s="41" t="s">
        <v>79</v>
      </c>
      <c r="I72">
        <v>1550071143</v>
      </c>
    </row>
    <row r="73" spans="1:9" x14ac:dyDescent="0.2">
      <c r="A73" t="s">
        <v>63</v>
      </c>
      <c r="B73">
        <v>2011</v>
      </c>
      <c r="C73">
        <v>1</v>
      </c>
      <c r="D73" s="39">
        <v>3</v>
      </c>
      <c r="E73" s="39">
        <v>601</v>
      </c>
      <c r="F73" s="40">
        <v>40469</v>
      </c>
      <c r="G73" s="40">
        <v>40847</v>
      </c>
      <c r="H73" s="41" t="s">
        <v>79</v>
      </c>
      <c r="I73">
        <v>1780538253</v>
      </c>
    </row>
    <row r="74" spans="1:9" x14ac:dyDescent="0.2">
      <c r="A74" t="s">
        <v>63</v>
      </c>
      <c r="B74">
        <v>2010</v>
      </c>
      <c r="C74">
        <v>12</v>
      </c>
      <c r="D74" s="39">
        <v>16</v>
      </c>
      <c r="E74" s="39">
        <v>7173.2</v>
      </c>
      <c r="F74" s="40">
        <v>40469</v>
      </c>
      <c r="G74" s="40">
        <v>40847</v>
      </c>
      <c r="H74" s="41" t="s">
        <v>79</v>
      </c>
      <c r="I74">
        <v>1782938199</v>
      </c>
    </row>
    <row r="75" spans="1:9" x14ac:dyDescent="0.2">
      <c r="A75" t="s">
        <v>63</v>
      </c>
      <c r="B75">
        <v>2010</v>
      </c>
      <c r="C75">
        <v>12</v>
      </c>
      <c r="D75" s="39">
        <v>23</v>
      </c>
      <c r="E75" s="39">
        <v>8849.32</v>
      </c>
      <c r="F75" s="40">
        <v>40469</v>
      </c>
      <c r="G75" s="40">
        <v>40847</v>
      </c>
      <c r="H75" s="41" t="s">
        <v>79</v>
      </c>
      <c r="I75">
        <v>1782138202</v>
      </c>
    </row>
    <row r="76" spans="1:9" x14ac:dyDescent="0.2">
      <c r="A76" t="s">
        <v>63</v>
      </c>
      <c r="B76">
        <v>2011</v>
      </c>
      <c r="C76">
        <v>5</v>
      </c>
      <c r="D76" s="39">
        <v>1</v>
      </c>
      <c r="E76" s="39">
        <v>380</v>
      </c>
      <c r="F76" s="40">
        <v>40469</v>
      </c>
      <c r="G76" s="40">
        <v>40847</v>
      </c>
      <c r="H76" s="41" t="s">
        <v>78</v>
      </c>
      <c r="I76">
        <v>1782938210</v>
      </c>
    </row>
    <row r="77" spans="1:9" x14ac:dyDescent="0.2">
      <c r="A77" t="s">
        <v>63</v>
      </c>
      <c r="B77">
        <v>2011</v>
      </c>
      <c r="C77">
        <v>2</v>
      </c>
      <c r="D77" s="39">
        <v>1</v>
      </c>
      <c r="E77" s="39">
        <v>317</v>
      </c>
      <c r="F77" s="40">
        <v>40469</v>
      </c>
      <c r="G77" s="40">
        <v>40847</v>
      </c>
      <c r="H77" s="41" t="s">
        <v>79</v>
      </c>
      <c r="I77">
        <v>1782138229</v>
      </c>
    </row>
    <row r="78" spans="1:9" x14ac:dyDescent="0.2">
      <c r="A78" t="s">
        <v>70</v>
      </c>
      <c r="B78">
        <v>2010</v>
      </c>
      <c r="C78">
        <v>1</v>
      </c>
      <c r="D78" s="39">
        <v>29</v>
      </c>
      <c r="E78" s="39">
        <v>6315</v>
      </c>
      <c r="F78" s="40">
        <v>39904</v>
      </c>
      <c r="G78" s="40">
        <v>40298</v>
      </c>
      <c r="H78" s="41" t="s">
        <v>79</v>
      </c>
      <c r="I78">
        <v>48906370343</v>
      </c>
    </row>
    <row r="79" spans="1:9" x14ac:dyDescent="0.2">
      <c r="A79" t="s">
        <v>70</v>
      </c>
      <c r="B79">
        <v>2010</v>
      </c>
      <c r="C79">
        <v>1</v>
      </c>
      <c r="D79" s="39">
        <v>44</v>
      </c>
      <c r="E79" s="39">
        <v>7447.49</v>
      </c>
      <c r="F79" s="40">
        <v>39904</v>
      </c>
      <c r="G79" s="40">
        <v>40298</v>
      </c>
      <c r="H79" s="41" t="s">
        <v>79</v>
      </c>
      <c r="I79">
        <v>48906349573</v>
      </c>
    </row>
    <row r="80" spans="1:9" x14ac:dyDescent="0.2">
      <c r="A80" t="s">
        <v>65</v>
      </c>
      <c r="B80">
        <v>2010</v>
      </c>
      <c r="C80">
        <v>1</v>
      </c>
      <c r="D80" s="39">
        <v>233</v>
      </c>
      <c r="E80" s="39">
        <v>42055.5</v>
      </c>
      <c r="F80" s="40">
        <v>39904</v>
      </c>
      <c r="G80" s="40">
        <v>40298</v>
      </c>
      <c r="H80" s="41" t="s">
        <v>79</v>
      </c>
      <c r="I80">
        <v>1720274284</v>
      </c>
    </row>
    <row r="81" spans="1:9" x14ac:dyDescent="0.2">
      <c r="A81" t="s">
        <v>65</v>
      </c>
      <c r="B81">
        <v>2010</v>
      </c>
      <c r="C81">
        <v>1</v>
      </c>
      <c r="D81" s="39">
        <v>1728</v>
      </c>
      <c r="E81" s="39">
        <v>394783.11</v>
      </c>
      <c r="F81" s="40">
        <v>39904</v>
      </c>
      <c r="G81" s="40">
        <v>40298</v>
      </c>
      <c r="H81" s="41" t="s">
        <v>79</v>
      </c>
      <c r="I81">
        <v>1720297644</v>
      </c>
    </row>
    <row r="82" spans="1:9" x14ac:dyDescent="0.2">
      <c r="A82" t="s">
        <v>65</v>
      </c>
      <c r="B82">
        <v>2010</v>
      </c>
      <c r="C82">
        <v>1</v>
      </c>
      <c r="D82" s="39">
        <v>11</v>
      </c>
      <c r="E82" s="39">
        <v>3684.66</v>
      </c>
      <c r="F82" s="40">
        <v>39904</v>
      </c>
      <c r="G82" s="40">
        <v>40298</v>
      </c>
      <c r="H82" s="41" t="s">
        <v>79</v>
      </c>
      <c r="I82">
        <v>1720297646</v>
      </c>
    </row>
    <row r="83" spans="1:9" x14ac:dyDescent="0.2">
      <c r="A83" t="s">
        <v>65</v>
      </c>
      <c r="B83">
        <v>2010</v>
      </c>
      <c r="C83">
        <v>2</v>
      </c>
      <c r="D83" s="39">
        <v>1</v>
      </c>
      <c r="E83" s="39">
        <v>484</v>
      </c>
      <c r="F83" s="40">
        <v>39904</v>
      </c>
      <c r="G83" s="40">
        <v>40298</v>
      </c>
      <c r="H83" s="41" t="s">
        <v>79</v>
      </c>
      <c r="I83">
        <v>1720297643</v>
      </c>
    </row>
    <row r="84" spans="1:9" x14ac:dyDescent="0.2">
      <c r="A84" t="s">
        <v>63</v>
      </c>
      <c r="B84">
        <v>2010</v>
      </c>
      <c r="C84">
        <v>1</v>
      </c>
      <c r="D84" s="39">
        <v>4</v>
      </c>
      <c r="E84" s="39">
        <v>1998.62</v>
      </c>
      <c r="F84" s="40">
        <v>39925</v>
      </c>
      <c r="G84" s="40">
        <v>40298</v>
      </c>
      <c r="H84" s="41" t="s">
        <v>79</v>
      </c>
      <c r="I84">
        <v>1780532883</v>
      </c>
    </row>
    <row r="85" spans="1:9" x14ac:dyDescent="0.2">
      <c r="A85" t="s">
        <v>63</v>
      </c>
      <c r="B85">
        <v>2010</v>
      </c>
      <c r="C85">
        <v>1</v>
      </c>
      <c r="D85" s="39">
        <v>1</v>
      </c>
      <c r="E85" s="39">
        <v>991</v>
      </c>
      <c r="F85" s="40">
        <v>39925</v>
      </c>
      <c r="G85" s="40">
        <v>40298</v>
      </c>
      <c r="H85" s="41" t="s">
        <v>79</v>
      </c>
      <c r="I85">
        <v>1782132891</v>
      </c>
    </row>
    <row r="86" spans="1:9" x14ac:dyDescent="0.2">
      <c r="A86" t="s">
        <v>71</v>
      </c>
      <c r="B86">
        <v>2010</v>
      </c>
      <c r="C86">
        <v>1</v>
      </c>
      <c r="D86" s="39">
        <v>3</v>
      </c>
      <c r="E86" s="39">
        <v>935.79</v>
      </c>
      <c r="F86" s="40">
        <v>39904</v>
      </c>
      <c r="G86" s="40">
        <v>40298</v>
      </c>
      <c r="H86" s="41" t="s">
        <v>79</v>
      </c>
      <c r="I86">
        <v>1700683877</v>
      </c>
    </row>
    <row r="87" spans="1:9" x14ac:dyDescent="0.2">
      <c r="A87" t="s">
        <v>71</v>
      </c>
      <c r="B87">
        <v>2010</v>
      </c>
      <c r="C87">
        <v>1</v>
      </c>
      <c r="D87" s="39">
        <v>5</v>
      </c>
      <c r="E87" s="39">
        <v>7397.11</v>
      </c>
      <c r="F87" s="40">
        <v>39904</v>
      </c>
      <c r="G87" s="40">
        <v>40298</v>
      </c>
      <c r="H87" s="41" t="s">
        <v>79</v>
      </c>
      <c r="I87">
        <v>1700671080</v>
      </c>
    </row>
    <row r="88" spans="1:9" x14ac:dyDescent="0.2">
      <c r="A88" t="s">
        <v>71</v>
      </c>
      <c r="B88">
        <v>2010</v>
      </c>
      <c r="C88">
        <v>8</v>
      </c>
      <c r="D88" s="39">
        <v>1</v>
      </c>
      <c r="E88" s="39">
        <v>3623.4</v>
      </c>
      <c r="F88" s="40">
        <v>39904</v>
      </c>
      <c r="G88" s="40">
        <v>40298</v>
      </c>
      <c r="H88" s="41" t="s">
        <v>78</v>
      </c>
      <c r="I88">
        <v>1700686398</v>
      </c>
    </row>
    <row r="89" spans="1:9" x14ac:dyDescent="0.2">
      <c r="A89" t="s">
        <v>71</v>
      </c>
      <c r="B89">
        <v>2010</v>
      </c>
      <c r="C89">
        <v>1</v>
      </c>
      <c r="D89" s="39">
        <v>1</v>
      </c>
      <c r="E89" s="39">
        <v>3963</v>
      </c>
      <c r="F89" s="40">
        <v>39904</v>
      </c>
      <c r="G89" s="40">
        <v>40298</v>
      </c>
      <c r="H89" s="41" t="s">
        <v>79</v>
      </c>
      <c r="I89">
        <v>1700679669</v>
      </c>
    </row>
    <row r="90" spans="1:9" x14ac:dyDescent="0.2">
      <c r="A90" t="s">
        <v>71</v>
      </c>
      <c r="B90">
        <v>2010</v>
      </c>
      <c r="C90">
        <v>1</v>
      </c>
      <c r="D90" s="39">
        <v>2</v>
      </c>
      <c r="E90" s="39">
        <v>4214.68</v>
      </c>
      <c r="F90" s="40">
        <v>39904</v>
      </c>
      <c r="G90" s="40">
        <v>40298</v>
      </c>
      <c r="H90" s="41" t="s">
        <v>79</v>
      </c>
      <c r="I90">
        <v>1700680020</v>
      </c>
    </row>
    <row r="91" spans="1:9" x14ac:dyDescent="0.2">
      <c r="A91" t="s">
        <v>71</v>
      </c>
      <c r="B91">
        <v>2010</v>
      </c>
      <c r="C91">
        <v>1</v>
      </c>
      <c r="D91" s="39">
        <v>2</v>
      </c>
      <c r="E91" s="39">
        <v>107.2</v>
      </c>
      <c r="F91" s="40">
        <v>39904</v>
      </c>
      <c r="G91" s="40">
        <v>40298</v>
      </c>
      <c r="H91" s="41" t="s">
        <v>79</v>
      </c>
      <c r="I91">
        <v>1700682833</v>
      </c>
    </row>
    <row r="92" spans="1:9" x14ac:dyDescent="0.2">
      <c r="A92" t="s">
        <v>71</v>
      </c>
      <c r="B92">
        <v>2010</v>
      </c>
      <c r="C92">
        <v>1</v>
      </c>
      <c r="D92" s="39">
        <v>22</v>
      </c>
      <c r="E92" s="39">
        <v>30108.1</v>
      </c>
      <c r="F92" s="40">
        <v>39904</v>
      </c>
      <c r="G92" s="40">
        <v>40298</v>
      </c>
      <c r="H92" s="41" t="s">
        <v>79</v>
      </c>
      <c r="I92">
        <v>1700684816</v>
      </c>
    </row>
    <row r="93" spans="1:9" x14ac:dyDescent="0.2">
      <c r="A93" t="s">
        <v>71</v>
      </c>
      <c r="B93">
        <v>2010</v>
      </c>
      <c r="C93">
        <v>1</v>
      </c>
      <c r="D93" s="39">
        <v>4</v>
      </c>
      <c r="E93" s="39">
        <v>2899</v>
      </c>
      <c r="F93" s="40">
        <v>39904</v>
      </c>
      <c r="G93" s="40">
        <v>40298</v>
      </c>
      <c r="H93" s="41" t="s">
        <v>79</v>
      </c>
      <c r="I93">
        <v>1700600035</v>
      </c>
    </row>
    <row r="94" spans="1:9" x14ac:dyDescent="0.2">
      <c r="A94" t="s">
        <v>71</v>
      </c>
      <c r="B94">
        <v>2010</v>
      </c>
      <c r="C94">
        <v>1</v>
      </c>
      <c r="D94" s="39">
        <v>9</v>
      </c>
      <c r="E94" s="39">
        <v>9200.9599999999991</v>
      </c>
      <c r="F94" s="40">
        <v>39904</v>
      </c>
      <c r="G94" s="40">
        <v>40298</v>
      </c>
      <c r="H94" s="41" t="s">
        <v>79</v>
      </c>
      <c r="I94">
        <v>1700686371</v>
      </c>
    </row>
    <row r="95" spans="1:9" x14ac:dyDescent="0.2">
      <c r="A95" t="s">
        <v>60</v>
      </c>
      <c r="B95">
        <v>2010</v>
      </c>
      <c r="C95">
        <v>1</v>
      </c>
      <c r="D95" s="39">
        <v>20</v>
      </c>
      <c r="E95" s="39">
        <v>38618</v>
      </c>
      <c r="F95" s="40">
        <v>39904</v>
      </c>
      <c r="G95" s="40">
        <v>40298</v>
      </c>
      <c r="H95" s="41" t="s">
        <v>79</v>
      </c>
      <c r="I95">
        <v>1614114488</v>
      </c>
    </row>
    <row r="96" spans="1:9" x14ac:dyDescent="0.2">
      <c r="A96" t="s">
        <v>60</v>
      </c>
      <c r="B96">
        <v>2010</v>
      </c>
      <c r="C96">
        <v>1</v>
      </c>
      <c r="D96" s="39">
        <v>5</v>
      </c>
      <c r="E96" s="39">
        <v>10039</v>
      </c>
      <c r="F96" s="40">
        <v>39904</v>
      </c>
      <c r="G96" s="40">
        <v>40298</v>
      </c>
      <c r="H96" s="41" t="s">
        <v>79</v>
      </c>
      <c r="I96">
        <v>1612500172</v>
      </c>
    </row>
    <row r="97" spans="1:9" x14ac:dyDescent="0.2">
      <c r="A97" t="s">
        <v>60</v>
      </c>
      <c r="B97">
        <v>2010</v>
      </c>
      <c r="C97">
        <v>1</v>
      </c>
      <c r="D97" s="39">
        <v>8</v>
      </c>
      <c r="E97" s="39">
        <v>24620</v>
      </c>
      <c r="F97" s="40">
        <v>39904</v>
      </c>
      <c r="G97" s="40">
        <v>40298</v>
      </c>
      <c r="H97" s="41" t="s">
        <v>79</v>
      </c>
      <c r="I97">
        <v>1613500262</v>
      </c>
    </row>
    <row r="98" spans="1:9" x14ac:dyDescent="0.2">
      <c r="A98" t="s">
        <v>60</v>
      </c>
      <c r="B98">
        <v>2010</v>
      </c>
      <c r="C98">
        <v>1</v>
      </c>
      <c r="D98" s="39">
        <v>15</v>
      </c>
      <c r="E98" s="39">
        <v>35738</v>
      </c>
      <c r="F98" s="40">
        <v>39904</v>
      </c>
      <c r="G98" s="40">
        <v>40298</v>
      </c>
      <c r="H98" s="41" t="s">
        <v>79</v>
      </c>
      <c r="I98">
        <v>1614500287</v>
      </c>
    </row>
    <row r="99" spans="1:9" x14ac:dyDescent="0.2">
      <c r="A99" t="s">
        <v>60</v>
      </c>
      <c r="B99">
        <v>2010</v>
      </c>
      <c r="C99">
        <v>1</v>
      </c>
      <c r="D99" s="39">
        <v>27</v>
      </c>
      <c r="E99" s="39">
        <v>76161</v>
      </c>
      <c r="F99" s="40">
        <v>39904</v>
      </c>
      <c r="G99" s="40">
        <v>40298</v>
      </c>
      <c r="H99" s="41" t="s">
        <v>79</v>
      </c>
      <c r="I99">
        <v>1617500381</v>
      </c>
    </row>
    <row r="100" spans="1:9" x14ac:dyDescent="0.2">
      <c r="A100" t="s">
        <v>60</v>
      </c>
      <c r="B100">
        <v>2010</v>
      </c>
      <c r="C100">
        <v>1</v>
      </c>
      <c r="D100" s="39">
        <v>153</v>
      </c>
      <c r="E100" s="39">
        <v>386978</v>
      </c>
      <c r="F100" s="40">
        <v>39904</v>
      </c>
      <c r="G100" s="40">
        <v>40298</v>
      </c>
      <c r="H100" s="41" t="s">
        <v>79</v>
      </c>
      <c r="I100">
        <v>1618500080</v>
      </c>
    </row>
    <row r="101" spans="1:9" x14ac:dyDescent="0.2">
      <c r="A101" t="s">
        <v>60</v>
      </c>
      <c r="B101">
        <v>2010</v>
      </c>
      <c r="C101">
        <v>1</v>
      </c>
      <c r="D101" s="39">
        <v>37</v>
      </c>
      <c r="E101" s="39">
        <v>128595</v>
      </c>
      <c r="F101" s="40">
        <v>39904</v>
      </c>
      <c r="G101" s="40">
        <v>40298</v>
      </c>
      <c r="H101" s="41" t="s">
        <v>79</v>
      </c>
      <c r="I101">
        <v>1612001911</v>
      </c>
    </row>
    <row r="102" spans="1:9" x14ac:dyDescent="0.2">
      <c r="A102" t="s">
        <v>60</v>
      </c>
      <c r="B102">
        <v>2010</v>
      </c>
      <c r="C102">
        <v>1</v>
      </c>
      <c r="D102" s="39">
        <v>3</v>
      </c>
      <c r="E102" s="39">
        <v>11360</v>
      </c>
      <c r="F102" s="40">
        <v>39904</v>
      </c>
      <c r="G102" s="40">
        <v>40298</v>
      </c>
      <c r="H102" s="41" t="s">
        <v>79</v>
      </c>
      <c r="I102">
        <v>1612001912</v>
      </c>
    </row>
    <row r="103" spans="1:9" x14ac:dyDescent="0.2">
      <c r="A103" t="s">
        <v>72</v>
      </c>
      <c r="B103">
        <v>2010</v>
      </c>
      <c r="C103">
        <v>1</v>
      </c>
      <c r="D103" s="39">
        <v>7</v>
      </c>
      <c r="E103" s="39">
        <v>6022.37</v>
      </c>
      <c r="F103" s="40">
        <v>39904</v>
      </c>
      <c r="G103" s="40">
        <v>40298</v>
      </c>
      <c r="H103" s="41" t="s">
        <v>79</v>
      </c>
      <c r="I103">
        <v>48944089389</v>
      </c>
    </row>
    <row r="104" spans="1:9" x14ac:dyDescent="0.2">
      <c r="A104" t="s">
        <v>72</v>
      </c>
      <c r="B104">
        <v>2010</v>
      </c>
      <c r="C104">
        <v>1</v>
      </c>
      <c r="D104" s="39">
        <v>28</v>
      </c>
      <c r="E104" s="39">
        <v>29136.45</v>
      </c>
      <c r="F104" s="40">
        <v>39904</v>
      </c>
      <c r="G104" s="40">
        <v>40298</v>
      </c>
      <c r="H104" s="41" t="s">
        <v>79</v>
      </c>
      <c r="I104">
        <v>48944048461</v>
      </c>
    </row>
    <row r="105" spans="1:9" x14ac:dyDescent="0.2">
      <c r="A105" t="s">
        <v>72</v>
      </c>
      <c r="B105">
        <v>2010</v>
      </c>
      <c r="C105">
        <v>1</v>
      </c>
      <c r="D105" s="39">
        <v>8</v>
      </c>
      <c r="E105" s="39">
        <v>13247.99</v>
      </c>
      <c r="F105" s="40">
        <v>39904</v>
      </c>
      <c r="G105" s="40">
        <v>40298</v>
      </c>
      <c r="H105" s="41" t="s">
        <v>79</v>
      </c>
      <c r="I105">
        <v>48944089362</v>
      </c>
    </row>
    <row r="106" spans="1:9" x14ac:dyDescent="0.2">
      <c r="A106" t="s">
        <v>72</v>
      </c>
      <c r="B106">
        <v>2010</v>
      </c>
      <c r="C106">
        <v>1</v>
      </c>
      <c r="D106" s="39">
        <v>8</v>
      </c>
      <c r="E106" s="39">
        <v>1957.24</v>
      </c>
      <c r="F106" s="40">
        <v>39904</v>
      </c>
      <c r="G106" s="40">
        <v>40298</v>
      </c>
      <c r="H106" s="41" t="s">
        <v>79</v>
      </c>
      <c r="I106">
        <v>48944089370</v>
      </c>
    </row>
    <row r="107" spans="1:9" x14ac:dyDescent="0.2">
      <c r="A107" t="s">
        <v>72</v>
      </c>
      <c r="B107">
        <v>2010</v>
      </c>
      <c r="C107">
        <v>1</v>
      </c>
      <c r="D107" s="39">
        <v>51</v>
      </c>
      <c r="E107" s="39">
        <v>31411.8</v>
      </c>
      <c r="F107" s="40">
        <v>39904</v>
      </c>
      <c r="G107" s="40">
        <v>40298</v>
      </c>
      <c r="H107" s="41" t="s">
        <v>79</v>
      </c>
      <c r="I107">
        <v>48944043567</v>
      </c>
    </row>
    <row r="108" spans="1:9" x14ac:dyDescent="0.2">
      <c r="A108" t="s">
        <v>72</v>
      </c>
      <c r="B108">
        <v>2011</v>
      </c>
      <c r="C108">
        <v>1</v>
      </c>
      <c r="D108" s="39">
        <v>9</v>
      </c>
      <c r="E108" s="39">
        <v>6919.67</v>
      </c>
      <c r="F108" s="40">
        <v>39904</v>
      </c>
      <c r="G108" s="40">
        <v>40298</v>
      </c>
      <c r="H108" s="41" t="s">
        <v>78</v>
      </c>
      <c r="I108">
        <v>48944062863</v>
      </c>
    </row>
    <row r="109" spans="1:9" x14ac:dyDescent="0.2">
      <c r="A109" t="s">
        <v>72</v>
      </c>
      <c r="B109">
        <v>2010</v>
      </c>
      <c r="C109">
        <v>1</v>
      </c>
      <c r="D109" s="39">
        <v>29</v>
      </c>
      <c r="E109" s="39">
        <v>36493.22</v>
      </c>
      <c r="F109" s="40">
        <v>39904</v>
      </c>
      <c r="G109" s="40">
        <v>40298</v>
      </c>
      <c r="H109" s="41" t="s">
        <v>79</v>
      </c>
      <c r="I109">
        <v>48944051306</v>
      </c>
    </row>
    <row r="110" spans="1:9" x14ac:dyDescent="0.2">
      <c r="A110" t="s">
        <v>60</v>
      </c>
      <c r="B110">
        <v>2011</v>
      </c>
      <c r="C110">
        <v>5</v>
      </c>
      <c r="D110" s="39">
        <v>18</v>
      </c>
      <c r="E110" s="39">
        <v>84509</v>
      </c>
      <c r="F110" s="40">
        <v>39909</v>
      </c>
      <c r="G110" s="40">
        <v>40298</v>
      </c>
      <c r="H110" s="41" t="s">
        <v>78</v>
      </c>
      <c r="I110">
        <v>1614006556</v>
      </c>
    </row>
    <row r="111" spans="1:9" x14ac:dyDescent="0.2">
      <c r="A111" t="s">
        <v>60</v>
      </c>
      <c r="B111">
        <v>2010</v>
      </c>
      <c r="C111">
        <v>1</v>
      </c>
      <c r="D111" s="39">
        <v>3</v>
      </c>
      <c r="E111" s="39">
        <v>2925</v>
      </c>
      <c r="F111" s="40">
        <v>39909</v>
      </c>
      <c r="G111" s="40">
        <v>40298</v>
      </c>
      <c r="H111" s="41" t="s">
        <v>79</v>
      </c>
      <c r="I111">
        <v>1614114008</v>
      </c>
    </row>
    <row r="112" spans="1:9" x14ac:dyDescent="0.2">
      <c r="A112" t="s">
        <v>62</v>
      </c>
      <c r="B112">
        <v>2010</v>
      </c>
      <c r="C112">
        <v>1</v>
      </c>
      <c r="D112" s="39">
        <v>1</v>
      </c>
      <c r="E112" s="39">
        <v>10.93</v>
      </c>
      <c r="F112" s="40">
        <v>40197</v>
      </c>
      <c r="G112" s="40">
        <v>40574</v>
      </c>
      <c r="H112" s="41" t="s">
        <v>79</v>
      </c>
      <c r="I112">
        <v>1550079811</v>
      </c>
    </row>
    <row r="113" spans="1:9" x14ac:dyDescent="0.2">
      <c r="A113" t="s">
        <v>60</v>
      </c>
      <c r="B113">
        <v>2010</v>
      </c>
      <c r="C113">
        <v>1</v>
      </c>
      <c r="D113" s="39">
        <v>1</v>
      </c>
      <c r="E113" s="39">
        <v>2804</v>
      </c>
      <c r="F113" s="40">
        <v>40127</v>
      </c>
      <c r="G113" s="40">
        <v>40512</v>
      </c>
      <c r="H113" s="41" t="s">
        <v>79</v>
      </c>
      <c r="I113">
        <v>1617224911</v>
      </c>
    </row>
    <row r="114" spans="1:9" x14ac:dyDescent="0.2">
      <c r="A114" t="s">
        <v>68</v>
      </c>
      <c r="B114">
        <v>2010</v>
      </c>
      <c r="C114">
        <v>1</v>
      </c>
      <c r="D114" s="39">
        <v>15</v>
      </c>
      <c r="E114" s="39">
        <v>25339</v>
      </c>
      <c r="F114" s="40">
        <v>39918</v>
      </c>
      <c r="G114" s="40">
        <v>40298</v>
      </c>
      <c r="H114" s="41" t="s">
        <v>79</v>
      </c>
      <c r="I114">
        <v>1652000380</v>
      </c>
    </row>
    <row r="115" spans="1:9" x14ac:dyDescent="0.2">
      <c r="A115" t="s">
        <v>68</v>
      </c>
      <c r="B115">
        <v>2010</v>
      </c>
      <c r="C115">
        <v>1</v>
      </c>
      <c r="D115" s="39">
        <v>15</v>
      </c>
      <c r="E115" s="39">
        <v>25909</v>
      </c>
      <c r="F115" s="40">
        <v>39918</v>
      </c>
      <c r="G115" s="40">
        <v>40298</v>
      </c>
      <c r="H115" s="41" t="s">
        <v>79</v>
      </c>
      <c r="I115">
        <v>1657507123</v>
      </c>
    </row>
    <row r="116" spans="1:9" x14ac:dyDescent="0.2">
      <c r="A116" t="s">
        <v>68</v>
      </c>
      <c r="B116">
        <v>2010</v>
      </c>
      <c r="C116">
        <v>5</v>
      </c>
      <c r="D116" s="39">
        <v>1</v>
      </c>
      <c r="E116" s="39">
        <v>3085</v>
      </c>
      <c r="F116" s="40">
        <v>39918</v>
      </c>
      <c r="G116" s="40">
        <v>40298</v>
      </c>
      <c r="H116" s="41" t="s">
        <v>78</v>
      </c>
      <c r="I116">
        <v>1652000454</v>
      </c>
    </row>
    <row r="117" spans="1:9" x14ac:dyDescent="0.2">
      <c r="A117" t="s">
        <v>68</v>
      </c>
      <c r="B117">
        <v>2010</v>
      </c>
      <c r="C117">
        <v>6</v>
      </c>
      <c r="D117" s="39">
        <v>2</v>
      </c>
      <c r="E117" s="39">
        <v>1560</v>
      </c>
      <c r="F117" s="40">
        <v>39918</v>
      </c>
      <c r="G117" s="40">
        <v>40298</v>
      </c>
      <c r="H117" s="41" t="s">
        <v>78</v>
      </c>
      <c r="I117">
        <v>1652000453</v>
      </c>
    </row>
    <row r="118" spans="1:9" x14ac:dyDescent="0.2">
      <c r="A118" t="s">
        <v>68</v>
      </c>
      <c r="B118">
        <v>2010</v>
      </c>
      <c r="C118">
        <v>1</v>
      </c>
      <c r="D118" s="39">
        <v>8</v>
      </c>
      <c r="E118" s="39">
        <v>18323</v>
      </c>
      <c r="F118" s="40">
        <v>39904</v>
      </c>
      <c r="G118" s="40">
        <v>40298</v>
      </c>
      <c r="H118" s="41" t="s">
        <v>79</v>
      </c>
      <c r="I118">
        <v>1654006377</v>
      </c>
    </row>
    <row r="119" spans="1:9" x14ac:dyDescent="0.2">
      <c r="A119" t="s">
        <v>66</v>
      </c>
      <c r="B119">
        <v>2011</v>
      </c>
      <c r="C119">
        <v>3</v>
      </c>
      <c r="D119" s="39">
        <v>3</v>
      </c>
      <c r="E119" s="39">
        <v>1485</v>
      </c>
      <c r="F119" s="40">
        <v>39909</v>
      </c>
      <c r="G119" s="40">
        <v>40298</v>
      </c>
      <c r="H119" s="41" t="s">
        <v>78</v>
      </c>
      <c r="I119">
        <v>1762498604</v>
      </c>
    </row>
    <row r="120" spans="1:9" x14ac:dyDescent="0.2">
      <c r="A120" t="s">
        <v>66</v>
      </c>
      <c r="B120">
        <v>2010</v>
      </c>
      <c r="C120">
        <v>1</v>
      </c>
      <c r="D120" s="39">
        <v>11</v>
      </c>
      <c r="E120" s="39">
        <v>6354.35</v>
      </c>
      <c r="F120" s="40">
        <v>39909</v>
      </c>
      <c r="G120" s="40">
        <v>40298</v>
      </c>
      <c r="H120" s="41" t="s">
        <v>79</v>
      </c>
      <c r="I120">
        <v>1761264548</v>
      </c>
    </row>
    <row r="121" spans="1:9" x14ac:dyDescent="0.2">
      <c r="A121" t="s">
        <v>66</v>
      </c>
      <c r="B121">
        <v>2010</v>
      </c>
      <c r="C121">
        <v>1</v>
      </c>
      <c r="D121" s="39">
        <v>3</v>
      </c>
      <c r="E121" s="39">
        <v>1386.49</v>
      </c>
      <c r="F121" s="40">
        <v>39909</v>
      </c>
      <c r="G121" s="40">
        <v>40298</v>
      </c>
      <c r="H121" s="41" t="s">
        <v>79</v>
      </c>
      <c r="I121">
        <v>1761294986</v>
      </c>
    </row>
    <row r="122" spans="1:9" x14ac:dyDescent="0.2">
      <c r="A122" t="s">
        <v>70</v>
      </c>
      <c r="B122">
        <v>2010</v>
      </c>
      <c r="C122">
        <v>3</v>
      </c>
      <c r="D122" s="39">
        <v>1</v>
      </c>
      <c r="E122" s="39">
        <v>125</v>
      </c>
      <c r="F122" s="40">
        <v>40116</v>
      </c>
      <c r="G122" s="40">
        <v>40482</v>
      </c>
      <c r="H122" s="41" t="s">
        <v>79</v>
      </c>
      <c r="I122">
        <v>48906392908</v>
      </c>
    </row>
    <row r="123" spans="1:9" x14ac:dyDescent="0.2">
      <c r="A123" t="s">
        <v>60</v>
      </c>
      <c r="B123">
        <v>2010</v>
      </c>
      <c r="C123">
        <v>8</v>
      </c>
      <c r="D123" s="39">
        <v>1</v>
      </c>
      <c r="E123" s="39">
        <v>2985</v>
      </c>
      <c r="F123" s="40">
        <v>39933</v>
      </c>
      <c r="G123" s="40">
        <v>40298</v>
      </c>
      <c r="H123" s="41" t="s">
        <v>78</v>
      </c>
      <c r="I123">
        <v>1614006120</v>
      </c>
    </row>
    <row r="124" spans="1:9" x14ac:dyDescent="0.2">
      <c r="A124" t="s">
        <v>60</v>
      </c>
      <c r="B124">
        <v>2010</v>
      </c>
      <c r="C124">
        <v>1</v>
      </c>
      <c r="D124" s="39">
        <v>1</v>
      </c>
      <c r="E124" s="39">
        <v>3400</v>
      </c>
      <c r="F124" s="40">
        <v>39933</v>
      </c>
      <c r="G124" s="40">
        <v>40298</v>
      </c>
      <c r="H124" s="41" t="s">
        <v>79</v>
      </c>
      <c r="I124">
        <v>1614118962</v>
      </c>
    </row>
    <row r="125" spans="1:9" x14ac:dyDescent="0.2">
      <c r="A125" t="s">
        <v>60</v>
      </c>
      <c r="B125">
        <v>2011</v>
      </c>
      <c r="C125">
        <v>2</v>
      </c>
      <c r="D125" s="39">
        <v>15</v>
      </c>
      <c r="E125" s="39">
        <v>60977</v>
      </c>
      <c r="F125" s="40">
        <v>40578</v>
      </c>
      <c r="G125" s="40">
        <v>40968</v>
      </c>
      <c r="H125" s="41" t="s">
        <v>79</v>
      </c>
      <c r="I125">
        <v>1614500332</v>
      </c>
    </row>
    <row r="126" spans="1:9" x14ac:dyDescent="0.2">
      <c r="A126" t="s">
        <v>60</v>
      </c>
      <c r="B126">
        <v>2011</v>
      </c>
      <c r="C126">
        <v>3</v>
      </c>
      <c r="D126" s="39">
        <v>1</v>
      </c>
      <c r="E126" s="39">
        <v>2615</v>
      </c>
      <c r="F126" s="40">
        <v>39906</v>
      </c>
      <c r="G126" s="40">
        <v>40298</v>
      </c>
      <c r="H126" s="41" t="s">
        <v>78</v>
      </c>
      <c r="I126">
        <v>1614006534</v>
      </c>
    </row>
    <row r="127" spans="1:9" x14ac:dyDescent="0.2">
      <c r="A127" t="s">
        <v>60</v>
      </c>
      <c r="B127">
        <v>2010</v>
      </c>
      <c r="C127">
        <v>2</v>
      </c>
      <c r="D127" s="39">
        <v>8</v>
      </c>
      <c r="E127" s="39">
        <v>45485</v>
      </c>
      <c r="F127" s="40">
        <v>39906</v>
      </c>
      <c r="G127" s="40">
        <v>40298</v>
      </c>
      <c r="H127" s="41" t="s">
        <v>79</v>
      </c>
      <c r="I127">
        <v>1644100986</v>
      </c>
    </row>
    <row r="128" spans="1:9" x14ac:dyDescent="0.2">
      <c r="A128" t="s">
        <v>60</v>
      </c>
      <c r="B128">
        <v>2010</v>
      </c>
      <c r="C128">
        <v>1</v>
      </c>
      <c r="D128" s="39">
        <v>2</v>
      </c>
      <c r="E128" s="39">
        <v>4570</v>
      </c>
      <c r="F128" s="40">
        <v>39906</v>
      </c>
      <c r="G128" s="40">
        <v>40298</v>
      </c>
      <c r="H128" s="41" t="s">
        <v>79</v>
      </c>
      <c r="I128">
        <v>1614122223</v>
      </c>
    </row>
    <row r="129" spans="1:9" x14ac:dyDescent="0.2">
      <c r="A129" t="s">
        <v>60</v>
      </c>
      <c r="B129">
        <v>2010</v>
      </c>
      <c r="C129">
        <v>5</v>
      </c>
      <c r="D129" s="39">
        <v>1</v>
      </c>
      <c r="E129" s="39">
        <v>6120</v>
      </c>
      <c r="F129" s="40">
        <v>39910</v>
      </c>
      <c r="G129" s="40">
        <v>40298</v>
      </c>
      <c r="H129" s="41" t="s">
        <v>78</v>
      </c>
      <c r="I129">
        <v>1614005955</v>
      </c>
    </row>
    <row r="130" spans="1:9" x14ac:dyDescent="0.2">
      <c r="A130" t="s">
        <v>60</v>
      </c>
      <c r="B130">
        <v>2010</v>
      </c>
      <c r="C130">
        <v>1</v>
      </c>
      <c r="D130" s="39">
        <v>13</v>
      </c>
      <c r="E130" s="39">
        <v>78137</v>
      </c>
      <c r="F130" s="40">
        <v>39910</v>
      </c>
      <c r="G130" s="40">
        <v>40298</v>
      </c>
      <c r="H130" s="41" t="s">
        <v>79</v>
      </c>
      <c r="I130">
        <v>1614117708</v>
      </c>
    </row>
    <row r="131" spans="1:9" x14ac:dyDescent="0.2">
      <c r="A131" t="s">
        <v>62</v>
      </c>
      <c r="B131">
        <v>2010</v>
      </c>
      <c r="C131">
        <v>1</v>
      </c>
      <c r="D131" s="39">
        <v>5</v>
      </c>
      <c r="E131" s="39">
        <v>621</v>
      </c>
      <c r="F131" s="40">
        <v>40046</v>
      </c>
      <c r="G131" s="40">
        <v>40421</v>
      </c>
      <c r="H131" s="41" t="s">
        <v>79</v>
      </c>
      <c r="I131">
        <v>1550050106</v>
      </c>
    </row>
    <row r="132" spans="1:9" x14ac:dyDescent="0.2">
      <c r="A132" t="s">
        <v>60</v>
      </c>
      <c r="B132">
        <v>2010</v>
      </c>
      <c r="C132">
        <v>1</v>
      </c>
      <c r="D132" s="39">
        <v>10</v>
      </c>
      <c r="E132" s="39">
        <v>26777</v>
      </c>
      <c r="F132" s="40">
        <v>39904</v>
      </c>
      <c r="G132" s="40">
        <v>40298</v>
      </c>
      <c r="H132" s="41" t="s">
        <v>79</v>
      </c>
      <c r="I132">
        <v>1612001720</v>
      </c>
    </row>
    <row r="133" spans="1:9" x14ac:dyDescent="0.2">
      <c r="A133" t="s">
        <v>60</v>
      </c>
      <c r="B133">
        <v>2010</v>
      </c>
      <c r="C133">
        <v>2</v>
      </c>
      <c r="D133" s="39">
        <v>2</v>
      </c>
      <c r="E133" s="39">
        <v>3815</v>
      </c>
      <c r="F133" s="40">
        <v>39904</v>
      </c>
      <c r="G133" s="40">
        <v>40298</v>
      </c>
      <c r="H133" s="41" t="s">
        <v>78</v>
      </c>
      <c r="I133">
        <v>1612001904</v>
      </c>
    </row>
    <row r="134" spans="1:9" x14ac:dyDescent="0.2">
      <c r="A134" t="s">
        <v>60</v>
      </c>
      <c r="B134">
        <v>2010</v>
      </c>
      <c r="C134">
        <v>1</v>
      </c>
      <c r="D134" s="39">
        <v>14</v>
      </c>
      <c r="E134" s="39">
        <v>34877</v>
      </c>
      <c r="F134" s="40">
        <v>39904</v>
      </c>
      <c r="G134" s="40">
        <v>40298</v>
      </c>
      <c r="H134" s="41" t="s">
        <v>79</v>
      </c>
      <c r="I134">
        <v>1614500245</v>
      </c>
    </row>
    <row r="135" spans="1:9" x14ac:dyDescent="0.2">
      <c r="A135" t="s">
        <v>60</v>
      </c>
      <c r="B135">
        <v>2010</v>
      </c>
      <c r="C135">
        <v>9</v>
      </c>
      <c r="D135" s="39">
        <v>1</v>
      </c>
      <c r="E135" s="39">
        <v>2479</v>
      </c>
      <c r="F135" s="40">
        <v>39904</v>
      </c>
      <c r="G135" s="40">
        <v>40298</v>
      </c>
      <c r="H135" s="41" t="s">
        <v>78</v>
      </c>
      <c r="I135">
        <v>1617500358</v>
      </c>
    </row>
    <row r="136" spans="1:9" x14ac:dyDescent="0.2">
      <c r="A136" t="s">
        <v>60</v>
      </c>
      <c r="B136">
        <v>2010</v>
      </c>
      <c r="C136">
        <v>1</v>
      </c>
      <c r="D136" s="39">
        <v>10</v>
      </c>
      <c r="E136" s="39">
        <v>32239</v>
      </c>
      <c r="F136" s="40">
        <v>39904</v>
      </c>
      <c r="G136" s="40">
        <v>40298</v>
      </c>
      <c r="H136" s="41" t="s">
        <v>79</v>
      </c>
      <c r="I136">
        <v>1618500071</v>
      </c>
    </row>
    <row r="137" spans="1:9" x14ac:dyDescent="0.2">
      <c r="A137" t="s">
        <v>64</v>
      </c>
      <c r="B137">
        <v>2010</v>
      </c>
      <c r="C137">
        <v>1</v>
      </c>
      <c r="D137" s="39">
        <v>2</v>
      </c>
      <c r="E137" s="39">
        <v>1825</v>
      </c>
      <c r="F137" s="40">
        <v>39917</v>
      </c>
      <c r="G137" s="40">
        <v>40298</v>
      </c>
      <c r="H137" s="41" t="s">
        <v>79</v>
      </c>
      <c r="I137">
        <v>1660010148</v>
      </c>
    </row>
    <row r="138" spans="1:9" x14ac:dyDescent="0.2">
      <c r="A138" t="s">
        <v>68</v>
      </c>
      <c r="B138">
        <v>2010</v>
      </c>
      <c r="C138">
        <v>1</v>
      </c>
      <c r="D138" s="39">
        <v>18</v>
      </c>
      <c r="E138" s="39">
        <v>29170</v>
      </c>
      <c r="F138" s="40">
        <v>39904</v>
      </c>
      <c r="G138" s="40">
        <v>40298</v>
      </c>
      <c r="H138" s="41" t="s">
        <v>79</v>
      </c>
      <c r="I138">
        <v>1652000411</v>
      </c>
    </row>
    <row r="139" spans="1:9" x14ac:dyDescent="0.2">
      <c r="A139" t="s">
        <v>68</v>
      </c>
      <c r="B139">
        <v>2010</v>
      </c>
      <c r="C139">
        <v>1</v>
      </c>
      <c r="D139" s="39">
        <v>72</v>
      </c>
      <c r="E139" s="39">
        <v>208156</v>
      </c>
      <c r="F139" s="40">
        <v>39904</v>
      </c>
      <c r="G139" s="40">
        <v>40298</v>
      </c>
      <c r="H139" s="41" t="s">
        <v>79</v>
      </c>
      <c r="I139">
        <v>1657507146</v>
      </c>
    </row>
    <row r="140" spans="1:9" x14ac:dyDescent="0.2">
      <c r="A140" t="s">
        <v>68</v>
      </c>
      <c r="B140">
        <v>2010</v>
      </c>
      <c r="C140">
        <v>8</v>
      </c>
      <c r="D140" s="39">
        <v>1</v>
      </c>
      <c r="E140" s="39">
        <v>1745</v>
      </c>
      <c r="F140" s="40">
        <v>40406</v>
      </c>
      <c r="G140" s="40">
        <v>40786</v>
      </c>
      <c r="H140" s="41" t="s">
        <v>79</v>
      </c>
      <c r="I140">
        <v>1654005174</v>
      </c>
    </row>
    <row r="141" spans="1:9" x14ac:dyDescent="0.2">
      <c r="A141" t="s">
        <v>60</v>
      </c>
      <c r="B141">
        <v>2011</v>
      </c>
      <c r="C141">
        <v>4</v>
      </c>
      <c r="D141" s="39">
        <v>4</v>
      </c>
      <c r="E141" s="39">
        <v>9706</v>
      </c>
      <c r="F141" s="40">
        <v>39911</v>
      </c>
      <c r="G141" s="40">
        <v>40298</v>
      </c>
      <c r="H141" s="41" t="s">
        <v>78</v>
      </c>
      <c r="I141">
        <v>1614006468</v>
      </c>
    </row>
    <row r="142" spans="1:9" x14ac:dyDescent="0.2">
      <c r="A142" t="s">
        <v>60</v>
      </c>
      <c r="B142">
        <v>2010</v>
      </c>
      <c r="C142">
        <v>1</v>
      </c>
      <c r="D142" s="39">
        <v>2</v>
      </c>
      <c r="E142" s="39">
        <v>5986</v>
      </c>
      <c r="F142" s="40">
        <v>39911</v>
      </c>
      <c r="G142" s="40">
        <v>40298</v>
      </c>
      <c r="H142" s="41" t="s">
        <v>79</v>
      </c>
      <c r="I142">
        <v>1614112466</v>
      </c>
    </row>
    <row r="143" spans="1:9" x14ac:dyDescent="0.2">
      <c r="A143" t="s">
        <v>60</v>
      </c>
      <c r="B143">
        <v>2010</v>
      </c>
      <c r="C143">
        <v>1</v>
      </c>
      <c r="D143" s="39">
        <v>11</v>
      </c>
      <c r="E143" s="39">
        <v>27305</v>
      </c>
      <c r="F143" s="40">
        <v>39904</v>
      </c>
      <c r="G143" s="40">
        <v>40298</v>
      </c>
      <c r="H143" s="41" t="s">
        <v>78</v>
      </c>
      <c r="I143">
        <v>1617230187</v>
      </c>
    </row>
    <row r="144" spans="1:9" x14ac:dyDescent="0.2">
      <c r="A144" t="s">
        <v>60</v>
      </c>
      <c r="B144">
        <v>2010</v>
      </c>
      <c r="C144">
        <v>1</v>
      </c>
      <c r="D144" s="39">
        <v>42</v>
      </c>
      <c r="E144" s="39">
        <v>162892</v>
      </c>
      <c r="F144" s="40">
        <v>39904</v>
      </c>
      <c r="G144" s="40">
        <v>40298</v>
      </c>
      <c r="H144" s="41" t="s">
        <v>79</v>
      </c>
      <c r="I144">
        <v>1617102278</v>
      </c>
    </row>
    <row r="145" spans="1:9" x14ac:dyDescent="0.2">
      <c r="A145" t="s">
        <v>60</v>
      </c>
      <c r="B145">
        <v>2011</v>
      </c>
      <c r="C145">
        <v>3</v>
      </c>
      <c r="D145" s="39">
        <v>3</v>
      </c>
      <c r="E145" s="39">
        <v>2910</v>
      </c>
      <c r="F145" s="40">
        <v>40186</v>
      </c>
      <c r="G145" s="40">
        <v>40574</v>
      </c>
      <c r="H145" s="41" t="s">
        <v>78</v>
      </c>
      <c r="I145">
        <v>1614006306</v>
      </c>
    </row>
    <row r="146" spans="1:9" x14ac:dyDescent="0.2">
      <c r="A146" t="s">
        <v>60</v>
      </c>
      <c r="B146">
        <v>2010</v>
      </c>
      <c r="C146">
        <v>1</v>
      </c>
      <c r="D146" s="39">
        <v>1</v>
      </c>
      <c r="E146" s="39">
        <v>2685</v>
      </c>
      <c r="F146" s="40">
        <v>40186</v>
      </c>
      <c r="G146" s="40">
        <v>40574</v>
      </c>
      <c r="H146" s="41" t="s">
        <v>79</v>
      </c>
      <c r="I146">
        <v>1614105929</v>
      </c>
    </row>
    <row r="147" spans="1:9" x14ac:dyDescent="0.2">
      <c r="A147" t="s">
        <v>61</v>
      </c>
      <c r="B147">
        <v>2010</v>
      </c>
      <c r="C147">
        <v>1</v>
      </c>
      <c r="D147" s="39">
        <v>86</v>
      </c>
      <c r="E147" s="39">
        <v>64127.15</v>
      </c>
      <c r="F147" s="40">
        <v>40001</v>
      </c>
      <c r="G147" s="40">
        <v>40390</v>
      </c>
      <c r="H147" s="41" t="s">
        <v>79</v>
      </c>
      <c r="I147">
        <v>1305872058</v>
      </c>
    </row>
    <row r="148" spans="1:9" x14ac:dyDescent="0.2">
      <c r="A148" t="s">
        <v>61</v>
      </c>
      <c r="B148">
        <v>2010</v>
      </c>
      <c r="C148">
        <v>1</v>
      </c>
      <c r="D148" s="39">
        <v>33</v>
      </c>
      <c r="E148" s="39">
        <v>6827.8</v>
      </c>
      <c r="F148" s="40">
        <v>40001</v>
      </c>
      <c r="G148" s="40">
        <v>40390</v>
      </c>
      <c r="H148" s="41" t="s">
        <v>79</v>
      </c>
      <c r="I148">
        <v>1332772059</v>
      </c>
    </row>
    <row r="149" spans="1:9" x14ac:dyDescent="0.2">
      <c r="A149" t="s">
        <v>61</v>
      </c>
      <c r="B149">
        <v>2010</v>
      </c>
      <c r="C149">
        <v>4</v>
      </c>
      <c r="D149" s="39">
        <v>1</v>
      </c>
      <c r="E149" s="39">
        <v>384</v>
      </c>
      <c r="F149" s="40">
        <v>40001</v>
      </c>
      <c r="G149" s="40">
        <v>40390</v>
      </c>
      <c r="H149" s="41" t="s">
        <v>79</v>
      </c>
      <c r="I149">
        <v>1305872061</v>
      </c>
    </row>
    <row r="150" spans="1:9" x14ac:dyDescent="0.2">
      <c r="A150" t="s">
        <v>61</v>
      </c>
      <c r="B150">
        <v>2010</v>
      </c>
      <c r="C150">
        <v>6</v>
      </c>
      <c r="D150" s="39">
        <v>1</v>
      </c>
      <c r="E150" s="39">
        <v>255.63</v>
      </c>
      <c r="F150" s="40">
        <v>40001</v>
      </c>
      <c r="G150" s="40">
        <v>40390</v>
      </c>
      <c r="H150" s="41" t="s">
        <v>78</v>
      </c>
      <c r="I150">
        <v>1305872063</v>
      </c>
    </row>
    <row r="151" spans="1:9" x14ac:dyDescent="0.2">
      <c r="A151" t="s">
        <v>63</v>
      </c>
      <c r="B151">
        <v>2010</v>
      </c>
      <c r="C151">
        <v>1</v>
      </c>
      <c r="D151" s="39">
        <v>1</v>
      </c>
      <c r="E151" s="39">
        <v>79.2</v>
      </c>
      <c r="F151" s="40">
        <v>40031</v>
      </c>
      <c r="G151" s="40">
        <v>40421</v>
      </c>
      <c r="H151" s="41" t="s">
        <v>79</v>
      </c>
      <c r="I151">
        <v>1780534142</v>
      </c>
    </row>
    <row r="152" spans="1:9" x14ac:dyDescent="0.2">
      <c r="A152" t="s">
        <v>63</v>
      </c>
      <c r="B152">
        <v>2010</v>
      </c>
      <c r="C152">
        <v>1</v>
      </c>
      <c r="D152" s="39">
        <v>16</v>
      </c>
      <c r="E152" s="39">
        <v>2756.21</v>
      </c>
      <c r="F152" s="40">
        <v>40031</v>
      </c>
      <c r="G152" s="40">
        <v>40421</v>
      </c>
      <c r="H152" s="41" t="s">
        <v>79</v>
      </c>
      <c r="I152">
        <v>1782134150</v>
      </c>
    </row>
    <row r="153" spans="1:9" x14ac:dyDescent="0.2">
      <c r="A153" t="s">
        <v>71</v>
      </c>
      <c r="B153">
        <v>2010</v>
      </c>
      <c r="C153">
        <v>1</v>
      </c>
      <c r="D153" s="39">
        <v>1</v>
      </c>
      <c r="E153" s="39">
        <v>1011.16</v>
      </c>
      <c r="F153" s="40">
        <v>40001</v>
      </c>
      <c r="G153" s="40">
        <v>40390</v>
      </c>
      <c r="H153" s="41" t="s">
        <v>79</v>
      </c>
      <c r="I153">
        <v>1700687289</v>
      </c>
    </row>
    <row r="154" spans="1:9" x14ac:dyDescent="0.2">
      <c r="A154" t="s">
        <v>60</v>
      </c>
      <c r="B154">
        <v>2010</v>
      </c>
      <c r="C154">
        <v>1</v>
      </c>
      <c r="D154" s="39">
        <v>11</v>
      </c>
      <c r="E154" s="39">
        <v>20973</v>
      </c>
      <c r="F154" s="40">
        <v>40070</v>
      </c>
      <c r="G154" s="40">
        <v>40451</v>
      </c>
      <c r="H154" s="41" t="s">
        <v>79</v>
      </c>
      <c r="I154">
        <v>1617500398</v>
      </c>
    </row>
    <row r="155" spans="1:9" x14ac:dyDescent="0.2">
      <c r="A155" t="s">
        <v>66</v>
      </c>
      <c r="B155">
        <v>2010</v>
      </c>
      <c r="C155">
        <v>1</v>
      </c>
      <c r="D155" s="39">
        <v>21</v>
      </c>
      <c r="E155" s="39">
        <v>16435</v>
      </c>
      <c r="F155" s="40">
        <v>40046</v>
      </c>
      <c r="G155" s="40">
        <v>40421</v>
      </c>
      <c r="H155" s="41" t="s">
        <v>79</v>
      </c>
      <c r="I155">
        <v>1761288501</v>
      </c>
    </row>
    <row r="156" spans="1:9" x14ac:dyDescent="0.2">
      <c r="A156" t="s">
        <v>66</v>
      </c>
      <c r="B156">
        <v>2010</v>
      </c>
      <c r="C156">
        <v>11</v>
      </c>
      <c r="D156" s="39">
        <v>1</v>
      </c>
      <c r="E156" s="39">
        <v>124</v>
      </c>
      <c r="F156" s="40">
        <v>40046</v>
      </c>
      <c r="G156" s="40">
        <v>40421</v>
      </c>
      <c r="H156" s="41" t="s">
        <v>78</v>
      </c>
      <c r="I156">
        <v>1762450164</v>
      </c>
    </row>
    <row r="157" spans="1:9" x14ac:dyDescent="0.2">
      <c r="A157" t="s">
        <v>66</v>
      </c>
      <c r="B157">
        <v>2010</v>
      </c>
      <c r="C157">
        <v>1</v>
      </c>
      <c r="D157" s="39">
        <v>1</v>
      </c>
      <c r="E157" s="39">
        <v>108</v>
      </c>
      <c r="F157" s="40">
        <v>40046</v>
      </c>
      <c r="G157" s="40">
        <v>40421</v>
      </c>
      <c r="H157" s="41" t="s">
        <v>79</v>
      </c>
      <c r="I157">
        <v>1761297993</v>
      </c>
    </row>
    <row r="158" spans="1:9" x14ac:dyDescent="0.2">
      <c r="A158" t="s">
        <v>66</v>
      </c>
      <c r="B158">
        <v>2010</v>
      </c>
      <c r="C158">
        <v>1</v>
      </c>
      <c r="D158" s="39">
        <v>19</v>
      </c>
      <c r="E158" s="39">
        <v>5676.45</v>
      </c>
      <c r="F158" s="40">
        <v>40046</v>
      </c>
      <c r="G158" s="40">
        <v>40421</v>
      </c>
      <c r="H158" s="41" t="s">
        <v>79</v>
      </c>
      <c r="I158">
        <v>1762497985</v>
      </c>
    </row>
    <row r="159" spans="1:9" x14ac:dyDescent="0.2">
      <c r="A159" t="s">
        <v>66</v>
      </c>
      <c r="B159">
        <v>2011</v>
      </c>
      <c r="C159">
        <v>1</v>
      </c>
      <c r="D159" s="39">
        <v>3</v>
      </c>
      <c r="E159" s="39">
        <v>2384.6999999999998</v>
      </c>
      <c r="F159" s="40">
        <v>40046</v>
      </c>
      <c r="G159" s="40">
        <v>40421</v>
      </c>
      <c r="H159" s="41" t="s">
        <v>78</v>
      </c>
      <c r="I159">
        <v>1761250156</v>
      </c>
    </row>
    <row r="160" spans="1:9" x14ac:dyDescent="0.2">
      <c r="A160" t="s">
        <v>66</v>
      </c>
      <c r="B160">
        <v>2010</v>
      </c>
      <c r="C160">
        <v>10</v>
      </c>
      <c r="D160" s="39">
        <v>1</v>
      </c>
      <c r="E160" s="39">
        <v>425</v>
      </c>
      <c r="F160" s="40">
        <v>40046</v>
      </c>
      <c r="G160" s="40">
        <v>40421</v>
      </c>
      <c r="H160" s="41" t="s">
        <v>78</v>
      </c>
      <c r="I160">
        <v>1762499988</v>
      </c>
    </row>
    <row r="161" spans="1:9" x14ac:dyDescent="0.2">
      <c r="A161" t="s">
        <v>73</v>
      </c>
      <c r="B161">
        <v>2010</v>
      </c>
      <c r="C161">
        <v>1</v>
      </c>
      <c r="D161" s="39">
        <v>2</v>
      </c>
      <c r="E161" s="39">
        <v>309.20999999999998</v>
      </c>
      <c r="F161" s="40">
        <v>40011</v>
      </c>
      <c r="G161" s="40">
        <v>40390</v>
      </c>
      <c r="H161" s="41" t="s">
        <v>79</v>
      </c>
      <c r="I161">
        <v>48965519461</v>
      </c>
    </row>
    <row r="162" spans="1:9" x14ac:dyDescent="0.2">
      <c r="A162" t="s">
        <v>73</v>
      </c>
      <c r="B162">
        <v>2010</v>
      </c>
      <c r="C162">
        <v>1</v>
      </c>
      <c r="D162" s="39">
        <v>2</v>
      </c>
      <c r="E162" s="39">
        <v>144.54</v>
      </c>
      <c r="F162" s="40">
        <v>40011</v>
      </c>
      <c r="G162" s="40">
        <v>40390</v>
      </c>
      <c r="H162" s="41" t="s">
        <v>79</v>
      </c>
      <c r="I162">
        <v>48965519607</v>
      </c>
    </row>
    <row r="163" spans="1:9" x14ac:dyDescent="0.2">
      <c r="A163" t="s">
        <v>73</v>
      </c>
      <c r="B163">
        <v>2010</v>
      </c>
      <c r="C163">
        <v>1</v>
      </c>
      <c r="D163" s="39">
        <v>4</v>
      </c>
      <c r="E163" s="39">
        <v>290.10000000000002</v>
      </c>
      <c r="F163" s="40">
        <v>40011</v>
      </c>
      <c r="G163" s="40">
        <v>40390</v>
      </c>
      <c r="H163" s="41" t="s">
        <v>79</v>
      </c>
      <c r="I163">
        <v>48965519615</v>
      </c>
    </row>
    <row r="164" spans="1:9" x14ac:dyDescent="0.2">
      <c r="A164" t="s">
        <v>70</v>
      </c>
      <c r="B164">
        <v>2010</v>
      </c>
      <c r="C164">
        <v>5</v>
      </c>
      <c r="D164" s="39">
        <v>3</v>
      </c>
      <c r="E164" s="39">
        <v>269</v>
      </c>
      <c r="F164" s="40">
        <v>40081</v>
      </c>
      <c r="G164" s="40">
        <v>40451</v>
      </c>
      <c r="H164" s="41" t="s">
        <v>79</v>
      </c>
      <c r="I164">
        <v>48906352051</v>
      </c>
    </row>
    <row r="165" spans="1:9" x14ac:dyDescent="0.2">
      <c r="A165" t="s">
        <v>64</v>
      </c>
      <c r="B165">
        <v>2010</v>
      </c>
      <c r="C165">
        <v>1</v>
      </c>
      <c r="D165" s="39">
        <v>17</v>
      </c>
      <c r="E165" s="39">
        <v>28695.9</v>
      </c>
      <c r="F165" s="40">
        <v>39997</v>
      </c>
      <c r="G165" s="40">
        <v>40390</v>
      </c>
      <c r="H165" s="41" t="s">
        <v>79</v>
      </c>
      <c r="I165">
        <v>1660100035</v>
      </c>
    </row>
    <row r="166" spans="1:9" x14ac:dyDescent="0.2">
      <c r="A166" t="s">
        <v>67</v>
      </c>
      <c r="B166">
        <v>2010</v>
      </c>
      <c r="C166">
        <v>1</v>
      </c>
      <c r="D166" s="39">
        <v>11</v>
      </c>
      <c r="E166" s="39">
        <v>608607</v>
      </c>
      <c r="F166" s="40">
        <v>40032</v>
      </c>
      <c r="G166" s="40">
        <v>40421</v>
      </c>
      <c r="H166" s="41" t="s">
        <v>79</v>
      </c>
      <c r="I166">
        <v>48867012092</v>
      </c>
    </row>
    <row r="167" spans="1:9" x14ac:dyDescent="0.2">
      <c r="A167" t="s">
        <v>68</v>
      </c>
      <c r="B167">
        <v>2010</v>
      </c>
      <c r="C167">
        <v>2</v>
      </c>
      <c r="D167" s="39">
        <v>1</v>
      </c>
      <c r="E167" s="39">
        <v>4600</v>
      </c>
      <c r="F167" s="40">
        <v>40058</v>
      </c>
      <c r="G167" s="40">
        <v>40451</v>
      </c>
      <c r="H167" s="41" t="s">
        <v>79</v>
      </c>
      <c r="I167">
        <v>1657507188</v>
      </c>
    </row>
    <row r="168" spans="1:9" x14ac:dyDescent="0.2">
      <c r="A168" t="s">
        <v>68</v>
      </c>
      <c r="B168">
        <v>2010</v>
      </c>
      <c r="C168">
        <v>1</v>
      </c>
      <c r="D168" s="39">
        <v>14</v>
      </c>
      <c r="E168" s="39">
        <v>30602</v>
      </c>
      <c r="F168" s="40">
        <v>40058</v>
      </c>
      <c r="G168" s="40">
        <v>40451</v>
      </c>
      <c r="H168" s="41" t="s">
        <v>79</v>
      </c>
      <c r="I168">
        <v>1657507190</v>
      </c>
    </row>
    <row r="169" spans="1:9" x14ac:dyDescent="0.2">
      <c r="A169" t="s">
        <v>68</v>
      </c>
      <c r="B169">
        <v>2010</v>
      </c>
      <c r="C169">
        <v>2</v>
      </c>
      <c r="D169" s="39">
        <v>1</v>
      </c>
      <c r="E169" s="39">
        <v>3800</v>
      </c>
      <c r="F169" s="40">
        <v>40058</v>
      </c>
      <c r="G169" s="40">
        <v>40451</v>
      </c>
      <c r="H169" s="41" t="s">
        <v>79</v>
      </c>
      <c r="I169">
        <v>1657507189</v>
      </c>
    </row>
    <row r="170" spans="1:9" x14ac:dyDescent="0.2">
      <c r="A170" t="s">
        <v>72</v>
      </c>
      <c r="B170">
        <v>2010</v>
      </c>
      <c r="C170">
        <v>1</v>
      </c>
      <c r="D170" s="39">
        <v>12</v>
      </c>
      <c r="E170" s="39">
        <v>13834.25</v>
      </c>
      <c r="F170" s="40">
        <v>40011</v>
      </c>
      <c r="G170" s="40">
        <v>40390</v>
      </c>
      <c r="H170" s="41" t="s">
        <v>79</v>
      </c>
      <c r="I170">
        <v>48944060569</v>
      </c>
    </row>
    <row r="171" spans="1:9" x14ac:dyDescent="0.2">
      <c r="A171" t="s">
        <v>72</v>
      </c>
      <c r="B171">
        <v>2010</v>
      </c>
      <c r="C171">
        <v>1</v>
      </c>
      <c r="D171" s="39">
        <v>1</v>
      </c>
      <c r="E171" s="39">
        <v>504.9</v>
      </c>
      <c r="F171" s="40">
        <v>40011</v>
      </c>
      <c r="G171" s="40">
        <v>40390</v>
      </c>
      <c r="H171" s="41" t="s">
        <v>78</v>
      </c>
      <c r="I171">
        <v>48944060968</v>
      </c>
    </row>
    <row r="172" spans="1:9" x14ac:dyDescent="0.2">
      <c r="A172" t="s">
        <v>60</v>
      </c>
      <c r="B172">
        <v>2010</v>
      </c>
      <c r="C172">
        <v>1</v>
      </c>
      <c r="D172" s="39">
        <v>1</v>
      </c>
      <c r="E172" s="39">
        <v>10030</v>
      </c>
      <c r="F172" s="40">
        <v>39906</v>
      </c>
      <c r="G172" s="40">
        <v>40298</v>
      </c>
      <c r="H172" s="41" t="s">
        <v>79</v>
      </c>
      <c r="I172">
        <v>1614120649</v>
      </c>
    </row>
    <row r="173" spans="1:9" x14ac:dyDescent="0.2">
      <c r="A173" t="s">
        <v>60</v>
      </c>
      <c r="B173">
        <v>2010</v>
      </c>
      <c r="C173">
        <v>4</v>
      </c>
      <c r="D173" s="39">
        <v>4</v>
      </c>
      <c r="E173" s="39">
        <v>9085</v>
      </c>
      <c r="F173" s="40">
        <v>39906</v>
      </c>
      <c r="G173" s="40">
        <v>40298</v>
      </c>
      <c r="H173" s="41" t="s">
        <v>78</v>
      </c>
      <c r="I173">
        <v>1614005576</v>
      </c>
    </row>
    <row r="174" spans="1:9" x14ac:dyDescent="0.2">
      <c r="A174" t="s">
        <v>69</v>
      </c>
      <c r="B174">
        <v>2010</v>
      </c>
      <c r="C174">
        <v>2</v>
      </c>
      <c r="D174" s="39">
        <v>4</v>
      </c>
      <c r="E174" s="39">
        <v>57330</v>
      </c>
      <c r="F174" s="40">
        <v>39905</v>
      </c>
      <c r="G174" s="40">
        <v>40298</v>
      </c>
      <c r="H174" s="41" t="s">
        <v>79</v>
      </c>
      <c r="I174">
        <v>48943406351</v>
      </c>
    </row>
    <row r="175" spans="1:9" x14ac:dyDescent="0.2">
      <c r="A175" t="s">
        <v>69</v>
      </c>
      <c r="B175">
        <v>2010</v>
      </c>
      <c r="C175">
        <v>1</v>
      </c>
      <c r="D175" s="39">
        <v>2</v>
      </c>
      <c r="E175" s="39">
        <v>9199.48</v>
      </c>
      <c r="F175" s="40">
        <v>39905</v>
      </c>
      <c r="G175" s="40">
        <v>40298</v>
      </c>
      <c r="H175" s="41" t="s">
        <v>79</v>
      </c>
      <c r="I175">
        <v>48943603573</v>
      </c>
    </row>
    <row r="176" spans="1:9" x14ac:dyDescent="0.2">
      <c r="A176" t="s">
        <v>74</v>
      </c>
      <c r="B176">
        <v>2010</v>
      </c>
      <c r="C176">
        <v>3</v>
      </c>
      <c r="D176" s="39">
        <v>9</v>
      </c>
      <c r="E176" s="39">
        <v>97847</v>
      </c>
      <c r="F176" s="40">
        <v>39961</v>
      </c>
      <c r="G176" s="40">
        <v>40329</v>
      </c>
      <c r="H176" s="41" t="s">
        <v>79</v>
      </c>
      <c r="I176">
        <v>48943034592</v>
      </c>
    </row>
    <row r="177" spans="1:9" x14ac:dyDescent="0.2">
      <c r="A177" t="s">
        <v>61</v>
      </c>
      <c r="B177">
        <v>2010</v>
      </c>
      <c r="C177">
        <v>1</v>
      </c>
      <c r="D177" s="39">
        <v>2</v>
      </c>
      <c r="E177" s="39">
        <v>2874</v>
      </c>
      <c r="F177" s="40">
        <v>39904</v>
      </c>
      <c r="G177" s="40">
        <v>40298</v>
      </c>
      <c r="H177" s="41" t="s">
        <v>79</v>
      </c>
      <c r="I177">
        <v>1327072108</v>
      </c>
    </row>
    <row r="178" spans="1:9" x14ac:dyDescent="0.2">
      <c r="A178" t="s">
        <v>61</v>
      </c>
      <c r="B178">
        <v>2010</v>
      </c>
      <c r="C178">
        <v>1</v>
      </c>
      <c r="D178" s="39">
        <v>12</v>
      </c>
      <c r="E178" s="39">
        <v>4914.33</v>
      </c>
      <c r="F178" s="40">
        <v>39904</v>
      </c>
      <c r="G178" s="40">
        <v>40298</v>
      </c>
      <c r="H178" s="41" t="s">
        <v>79</v>
      </c>
      <c r="I178">
        <v>1327071138</v>
      </c>
    </row>
    <row r="179" spans="1:9" x14ac:dyDescent="0.2">
      <c r="A179" t="s">
        <v>61</v>
      </c>
      <c r="B179">
        <v>2010</v>
      </c>
      <c r="C179">
        <v>2</v>
      </c>
      <c r="D179" s="39">
        <v>31</v>
      </c>
      <c r="E179" s="39">
        <v>2321</v>
      </c>
      <c r="F179" s="40">
        <v>39904</v>
      </c>
      <c r="G179" s="40">
        <v>40298</v>
      </c>
      <c r="H179" s="41" t="s">
        <v>79</v>
      </c>
      <c r="I179">
        <v>1327072107</v>
      </c>
    </row>
    <row r="180" spans="1:9" x14ac:dyDescent="0.2">
      <c r="A180" t="s">
        <v>61</v>
      </c>
      <c r="B180">
        <v>2010</v>
      </c>
      <c r="C180">
        <v>1</v>
      </c>
      <c r="D180" s="39">
        <v>5</v>
      </c>
      <c r="E180" s="39">
        <v>1291.6199999999999</v>
      </c>
      <c r="F180" s="40">
        <v>39904</v>
      </c>
      <c r="G180" s="40">
        <v>40298</v>
      </c>
      <c r="H180" s="41" t="s">
        <v>79</v>
      </c>
      <c r="I180">
        <v>1332700013</v>
      </c>
    </row>
    <row r="181" spans="1:9" x14ac:dyDescent="0.2">
      <c r="A181" t="s">
        <v>61</v>
      </c>
      <c r="B181">
        <v>2011</v>
      </c>
      <c r="C181">
        <v>4</v>
      </c>
      <c r="D181" s="39">
        <v>1</v>
      </c>
      <c r="E181" s="39">
        <v>390</v>
      </c>
      <c r="F181" s="40">
        <v>39904</v>
      </c>
      <c r="G181" s="40">
        <v>40298</v>
      </c>
      <c r="H181" s="41" t="s">
        <v>78</v>
      </c>
      <c r="I181">
        <v>1327070906</v>
      </c>
    </row>
    <row r="182" spans="1:9" x14ac:dyDescent="0.2">
      <c r="A182" t="s">
        <v>61</v>
      </c>
      <c r="B182">
        <v>2010</v>
      </c>
      <c r="C182">
        <v>11</v>
      </c>
      <c r="D182" s="39">
        <v>1</v>
      </c>
      <c r="E182" s="39">
        <v>143</v>
      </c>
      <c r="F182" s="40">
        <v>39904</v>
      </c>
      <c r="G182" s="40">
        <v>40298</v>
      </c>
      <c r="H182" s="41" t="s">
        <v>78</v>
      </c>
      <c r="I182">
        <v>1327070907</v>
      </c>
    </row>
    <row r="183" spans="1:9" x14ac:dyDescent="0.2">
      <c r="A183" t="s">
        <v>65</v>
      </c>
      <c r="B183">
        <v>2010</v>
      </c>
      <c r="C183">
        <v>1</v>
      </c>
      <c r="D183" s="39">
        <v>84</v>
      </c>
      <c r="E183" s="39">
        <v>8374.09</v>
      </c>
      <c r="F183" s="40">
        <v>39904</v>
      </c>
      <c r="G183" s="40">
        <v>40298</v>
      </c>
      <c r="H183" s="41" t="s">
        <v>79</v>
      </c>
      <c r="I183">
        <v>1721396521</v>
      </c>
    </row>
    <row r="184" spans="1:9" x14ac:dyDescent="0.2">
      <c r="A184" t="s">
        <v>65</v>
      </c>
      <c r="B184">
        <v>2010</v>
      </c>
      <c r="C184">
        <v>1</v>
      </c>
      <c r="D184" s="39">
        <v>8</v>
      </c>
      <c r="E184" s="39">
        <v>861.6</v>
      </c>
      <c r="F184" s="40">
        <v>39904</v>
      </c>
      <c r="G184" s="40">
        <v>40298</v>
      </c>
      <c r="H184" s="41" t="s">
        <v>79</v>
      </c>
      <c r="I184">
        <v>1725496521</v>
      </c>
    </row>
    <row r="185" spans="1:9" x14ac:dyDescent="0.2">
      <c r="A185" t="s">
        <v>62</v>
      </c>
      <c r="B185">
        <v>2010</v>
      </c>
      <c r="C185">
        <v>1</v>
      </c>
      <c r="D185" s="39">
        <v>9.7142857142857135</v>
      </c>
      <c r="E185" s="39">
        <v>2536.56</v>
      </c>
      <c r="F185" s="40">
        <v>39966</v>
      </c>
      <c r="G185" s="40">
        <v>40359</v>
      </c>
      <c r="H185" s="41" t="s">
        <v>79</v>
      </c>
      <c r="I185">
        <v>1550024902</v>
      </c>
    </row>
    <row r="186" spans="1:9" x14ac:dyDescent="0.2">
      <c r="A186" t="s">
        <v>62</v>
      </c>
      <c r="B186">
        <v>2010</v>
      </c>
      <c r="C186">
        <v>1</v>
      </c>
      <c r="D186" s="39">
        <v>5</v>
      </c>
      <c r="E186" s="39">
        <v>2679</v>
      </c>
      <c r="F186" s="40">
        <v>39966</v>
      </c>
      <c r="G186" s="40">
        <v>40359</v>
      </c>
      <c r="H186" s="41" t="s">
        <v>78</v>
      </c>
      <c r="I186">
        <v>1550080653</v>
      </c>
    </row>
    <row r="187" spans="1:9" x14ac:dyDescent="0.2">
      <c r="A187" t="s">
        <v>62</v>
      </c>
      <c r="B187">
        <v>2011</v>
      </c>
      <c r="C187">
        <v>2</v>
      </c>
      <c r="D187" s="39">
        <v>1</v>
      </c>
      <c r="E187" s="39">
        <v>676</v>
      </c>
      <c r="F187" s="40">
        <v>39966</v>
      </c>
      <c r="G187" s="40">
        <v>40359</v>
      </c>
      <c r="H187" s="41" t="s">
        <v>78</v>
      </c>
      <c r="I187">
        <v>1550071724</v>
      </c>
    </row>
    <row r="188" spans="1:9" x14ac:dyDescent="0.2">
      <c r="A188" t="s">
        <v>62</v>
      </c>
      <c r="B188">
        <v>2010</v>
      </c>
      <c r="C188">
        <v>1</v>
      </c>
      <c r="D188" s="39">
        <v>129.35714285714286</v>
      </c>
      <c r="E188" s="39">
        <v>46581.57</v>
      </c>
      <c r="F188" s="40">
        <v>39966</v>
      </c>
      <c r="G188" s="40">
        <v>40359</v>
      </c>
      <c r="H188" s="41" t="s">
        <v>79</v>
      </c>
      <c r="I188">
        <v>1550071389</v>
      </c>
    </row>
    <row r="189" spans="1:9" x14ac:dyDescent="0.2">
      <c r="A189" t="s">
        <v>62</v>
      </c>
      <c r="B189">
        <v>2010</v>
      </c>
      <c r="C189">
        <v>1</v>
      </c>
      <c r="D189" s="39">
        <v>24.285714285714285</v>
      </c>
      <c r="E189" s="39">
        <v>9072.4</v>
      </c>
      <c r="F189" s="40">
        <v>39966</v>
      </c>
      <c r="G189" s="40">
        <v>40359</v>
      </c>
      <c r="H189" s="41" t="s">
        <v>78</v>
      </c>
      <c r="I189">
        <v>1550080655</v>
      </c>
    </row>
    <row r="190" spans="1:9" x14ac:dyDescent="0.2">
      <c r="A190" t="s">
        <v>62</v>
      </c>
      <c r="B190">
        <v>2010</v>
      </c>
      <c r="C190">
        <v>1</v>
      </c>
      <c r="D190" s="39">
        <v>3.3571428571428572</v>
      </c>
      <c r="E190" s="39">
        <v>2075.7800000000002</v>
      </c>
      <c r="F190" s="40">
        <v>39966</v>
      </c>
      <c r="G190" s="40">
        <v>40359</v>
      </c>
      <c r="H190" s="41" t="s">
        <v>79</v>
      </c>
      <c r="I190">
        <v>1550071721</v>
      </c>
    </row>
    <row r="191" spans="1:9" x14ac:dyDescent="0.2">
      <c r="A191" t="s">
        <v>62</v>
      </c>
      <c r="B191">
        <v>2010</v>
      </c>
      <c r="C191">
        <v>1</v>
      </c>
      <c r="D191" s="39">
        <v>1.7142857142857144</v>
      </c>
      <c r="E191" s="39">
        <v>86.53</v>
      </c>
      <c r="F191" s="40">
        <v>39966</v>
      </c>
      <c r="G191" s="40">
        <v>40359</v>
      </c>
      <c r="H191" s="41" t="s">
        <v>78</v>
      </c>
      <c r="I191">
        <v>1550080656</v>
      </c>
    </row>
    <row r="192" spans="1:9" x14ac:dyDescent="0.2">
      <c r="A192" t="s">
        <v>62</v>
      </c>
      <c r="B192">
        <v>2010</v>
      </c>
      <c r="C192">
        <v>3</v>
      </c>
      <c r="D192" s="39">
        <v>3</v>
      </c>
      <c r="E192" s="39">
        <v>365.55</v>
      </c>
      <c r="F192" s="40">
        <v>39966</v>
      </c>
      <c r="G192" s="40">
        <v>40359</v>
      </c>
      <c r="H192" s="41" t="s">
        <v>79</v>
      </c>
      <c r="I192">
        <v>1550071718</v>
      </c>
    </row>
    <row r="193" spans="1:9" x14ac:dyDescent="0.2">
      <c r="A193" t="s">
        <v>62</v>
      </c>
      <c r="B193">
        <v>2010</v>
      </c>
      <c r="C193">
        <v>2</v>
      </c>
      <c r="D193" s="39">
        <v>1</v>
      </c>
      <c r="E193" s="39">
        <v>15.13</v>
      </c>
      <c r="F193" s="40">
        <v>39966</v>
      </c>
      <c r="G193" s="40">
        <v>40359</v>
      </c>
      <c r="H193" s="41" t="s">
        <v>78</v>
      </c>
      <c r="I193">
        <v>1550080657</v>
      </c>
    </row>
    <row r="194" spans="1:9" x14ac:dyDescent="0.2">
      <c r="A194" t="s">
        <v>62</v>
      </c>
      <c r="B194">
        <v>2010</v>
      </c>
      <c r="C194">
        <v>1</v>
      </c>
      <c r="D194" s="39">
        <v>1</v>
      </c>
      <c r="E194" s="39">
        <v>149.76</v>
      </c>
      <c r="F194" s="40">
        <v>39966</v>
      </c>
      <c r="G194" s="40">
        <v>40359</v>
      </c>
      <c r="H194" s="41" t="s">
        <v>79</v>
      </c>
      <c r="I194">
        <v>1550071719</v>
      </c>
    </row>
    <row r="195" spans="1:9" x14ac:dyDescent="0.2">
      <c r="A195" t="s">
        <v>62</v>
      </c>
      <c r="B195">
        <v>2010</v>
      </c>
      <c r="C195">
        <v>1</v>
      </c>
      <c r="D195" s="39">
        <v>17</v>
      </c>
      <c r="E195" s="39">
        <v>5829.89</v>
      </c>
      <c r="F195" s="40">
        <v>39966</v>
      </c>
      <c r="G195" s="40">
        <v>40359</v>
      </c>
      <c r="H195" s="41" t="s">
        <v>78</v>
      </c>
      <c r="I195">
        <v>1550080661</v>
      </c>
    </row>
    <row r="196" spans="1:9" x14ac:dyDescent="0.2">
      <c r="A196" t="s">
        <v>62</v>
      </c>
      <c r="B196">
        <v>2010</v>
      </c>
      <c r="C196">
        <v>1</v>
      </c>
      <c r="D196" s="39">
        <v>3</v>
      </c>
      <c r="E196" s="39">
        <v>413</v>
      </c>
      <c r="F196" s="40">
        <v>39966</v>
      </c>
      <c r="G196" s="40">
        <v>40359</v>
      </c>
      <c r="H196" s="41" t="s">
        <v>79</v>
      </c>
      <c r="I196">
        <v>1550071723</v>
      </c>
    </row>
    <row r="197" spans="1:9" x14ac:dyDescent="0.2">
      <c r="A197" t="s">
        <v>62</v>
      </c>
      <c r="B197">
        <v>2010</v>
      </c>
      <c r="C197">
        <v>1</v>
      </c>
      <c r="D197" s="39">
        <v>3</v>
      </c>
      <c r="E197" s="39">
        <v>277.49</v>
      </c>
      <c r="F197" s="40">
        <v>39966</v>
      </c>
      <c r="G197" s="40">
        <v>40359</v>
      </c>
      <c r="H197" s="41" t="s">
        <v>78</v>
      </c>
      <c r="I197">
        <v>1550080660</v>
      </c>
    </row>
    <row r="198" spans="1:9" x14ac:dyDescent="0.2">
      <c r="A198" t="s">
        <v>62</v>
      </c>
      <c r="B198">
        <v>2010</v>
      </c>
      <c r="C198">
        <v>5</v>
      </c>
      <c r="D198" s="39">
        <v>1</v>
      </c>
      <c r="E198" s="39">
        <v>85.71</v>
      </c>
      <c r="F198" s="40">
        <v>39966</v>
      </c>
      <c r="G198" s="40">
        <v>40359</v>
      </c>
      <c r="H198" s="41" t="s">
        <v>78</v>
      </c>
      <c r="I198">
        <v>1550082010</v>
      </c>
    </row>
    <row r="199" spans="1:9" x14ac:dyDescent="0.2">
      <c r="A199" t="s">
        <v>62</v>
      </c>
      <c r="B199">
        <v>2011</v>
      </c>
      <c r="C199">
        <v>1</v>
      </c>
      <c r="D199" s="39">
        <v>1</v>
      </c>
      <c r="E199" s="39">
        <v>148</v>
      </c>
      <c r="F199" s="40">
        <v>39966</v>
      </c>
      <c r="G199" s="40">
        <v>40359</v>
      </c>
      <c r="H199" s="41" t="s">
        <v>78</v>
      </c>
      <c r="I199">
        <v>1550082012</v>
      </c>
    </row>
    <row r="200" spans="1:9" x14ac:dyDescent="0.2">
      <c r="A200" t="s">
        <v>62</v>
      </c>
      <c r="B200">
        <v>2010</v>
      </c>
      <c r="C200">
        <v>7</v>
      </c>
      <c r="D200" s="39">
        <v>4</v>
      </c>
      <c r="E200" s="39">
        <v>424</v>
      </c>
      <c r="F200" s="40">
        <v>39966</v>
      </c>
      <c r="G200" s="40">
        <v>40359</v>
      </c>
      <c r="H200" s="41" t="s">
        <v>78</v>
      </c>
      <c r="I200">
        <v>1550068579</v>
      </c>
    </row>
    <row r="201" spans="1:9" x14ac:dyDescent="0.2">
      <c r="A201" t="s">
        <v>62</v>
      </c>
      <c r="B201">
        <v>2010</v>
      </c>
      <c r="C201">
        <v>1</v>
      </c>
      <c r="D201" s="39">
        <v>9</v>
      </c>
      <c r="E201" s="39">
        <v>1817.6</v>
      </c>
      <c r="F201" s="40">
        <v>39966</v>
      </c>
      <c r="G201" s="40">
        <v>40359</v>
      </c>
      <c r="H201" s="41" t="s">
        <v>79</v>
      </c>
      <c r="I201">
        <v>1550078072</v>
      </c>
    </row>
    <row r="202" spans="1:9" x14ac:dyDescent="0.2">
      <c r="A202" t="s">
        <v>62</v>
      </c>
      <c r="B202">
        <v>2010</v>
      </c>
      <c r="C202">
        <v>3</v>
      </c>
      <c r="D202" s="39">
        <v>2</v>
      </c>
      <c r="E202" s="39">
        <v>274.22000000000003</v>
      </c>
      <c r="F202" s="40">
        <v>39966</v>
      </c>
      <c r="G202" s="40">
        <v>40359</v>
      </c>
      <c r="H202" s="41" t="s">
        <v>78</v>
      </c>
      <c r="I202">
        <v>1550078589</v>
      </c>
    </row>
    <row r="203" spans="1:9" x14ac:dyDescent="0.2">
      <c r="A203" t="s">
        <v>63</v>
      </c>
      <c r="B203">
        <v>2010</v>
      </c>
      <c r="C203">
        <v>1</v>
      </c>
      <c r="D203" s="39">
        <v>2</v>
      </c>
      <c r="E203" s="39">
        <v>809.5</v>
      </c>
      <c r="F203" s="40">
        <v>39911</v>
      </c>
      <c r="G203" s="40">
        <v>40298</v>
      </c>
      <c r="H203" s="41" t="s">
        <v>79</v>
      </c>
      <c r="I203">
        <v>1782922535</v>
      </c>
    </row>
    <row r="204" spans="1:9" x14ac:dyDescent="0.2">
      <c r="A204" t="s">
        <v>60</v>
      </c>
      <c r="B204">
        <v>2010</v>
      </c>
      <c r="C204">
        <v>1</v>
      </c>
      <c r="D204" s="39">
        <v>62</v>
      </c>
      <c r="E204" s="39">
        <v>453757</v>
      </c>
      <c r="F204" s="40">
        <v>39904</v>
      </c>
      <c r="G204" s="40">
        <v>40298</v>
      </c>
      <c r="H204" s="41" t="s">
        <v>79</v>
      </c>
      <c r="I204">
        <v>1614003643</v>
      </c>
    </row>
    <row r="205" spans="1:9" x14ac:dyDescent="0.2">
      <c r="A205" t="s">
        <v>60</v>
      </c>
      <c r="B205">
        <v>2010</v>
      </c>
      <c r="C205">
        <v>1</v>
      </c>
      <c r="D205" s="39">
        <v>50</v>
      </c>
      <c r="E205" s="39">
        <v>120865</v>
      </c>
      <c r="F205" s="40">
        <v>39904</v>
      </c>
      <c r="G205" s="40">
        <v>40298</v>
      </c>
      <c r="H205" s="41" t="s">
        <v>79</v>
      </c>
      <c r="I205">
        <v>1614003647</v>
      </c>
    </row>
    <row r="206" spans="1:9" x14ac:dyDescent="0.2">
      <c r="A206" t="s">
        <v>60</v>
      </c>
      <c r="B206">
        <v>2010</v>
      </c>
      <c r="C206">
        <v>1</v>
      </c>
      <c r="D206" s="39">
        <v>36</v>
      </c>
      <c r="E206" s="39">
        <v>72803</v>
      </c>
      <c r="F206" s="40">
        <v>39904</v>
      </c>
      <c r="G206" s="40">
        <v>40298</v>
      </c>
      <c r="H206" s="41" t="s">
        <v>79</v>
      </c>
      <c r="I206">
        <v>1614003645</v>
      </c>
    </row>
    <row r="207" spans="1:9" x14ac:dyDescent="0.2">
      <c r="A207" t="s">
        <v>60</v>
      </c>
      <c r="B207">
        <v>2010</v>
      </c>
      <c r="C207">
        <v>8</v>
      </c>
      <c r="D207" s="39">
        <v>23</v>
      </c>
      <c r="E207" s="39">
        <v>69967</v>
      </c>
      <c r="F207" s="40">
        <v>39904</v>
      </c>
      <c r="G207" s="40">
        <v>40298</v>
      </c>
      <c r="H207" s="41" t="s">
        <v>78</v>
      </c>
      <c r="I207">
        <v>1614005082</v>
      </c>
    </row>
    <row r="208" spans="1:9" x14ac:dyDescent="0.2">
      <c r="A208" t="s">
        <v>60</v>
      </c>
      <c r="B208">
        <v>2010</v>
      </c>
      <c r="C208">
        <v>8</v>
      </c>
      <c r="D208" s="39">
        <v>14</v>
      </c>
      <c r="E208" s="39">
        <v>109180</v>
      </c>
      <c r="F208" s="40">
        <v>39904</v>
      </c>
      <c r="G208" s="40">
        <v>40298</v>
      </c>
      <c r="H208" s="41" t="s">
        <v>78</v>
      </c>
      <c r="I208">
        <v>1614005081</v>
      </c>
    </row>
    <row r="209" spans="1:9" x14ac:dyDescent="0.2">
      <c r="A209" t="s">
        <v>60</v>
      </c>
      <c r="B209">
        <v>2010</v>
      </c>
      <c r="C209">
        <v>1</v>
      </c>
      <c r="D209" s="39">
        <v>30</v>
      </c>
      <c r="E209" s="39">
        <v>236931</v>
      </c>
      <c r="F209" s="40">
        <v>39904</v>
      </c>
      <c r="G209" s="40">
        <v>40298</v>
      </c>
      <c r="H209" s="41" t="s">
        <v>79</v>
      </c>
      <c r="I209">
        <v>1614122166</v>
      </c>
    </row>
    <row r="210" spans="1:9" x14ac:dyDescent="0.2">
      <c r="A210" t="s">
        <v>60</v>
      </c>
      <c r="B210">
        <v>2010</v>
      </c>
      <c r="C210">
        <v>1</v>
      </c>
      <c r="D210" s="39">
        <v>18</v>
      </c>
      <c r="E210" s="39">
        <v>51854</v>
      </c>
      <c r="F210" s="40">
        <v>39904</v>
      </c>
      <c r="G210" s="40">
        <v>40298</v>
      </c>
      <c r="H210" s="41" t="s">
        <v>79</v>
      </c>
      <c r="I210">
        <v>1614122165</v>
      </c>
    </row>
    <row r="211" spans="1:9" x14ac:dyDescent="0.2">
      <c r="A211" t="s">
        <v>60</v>
      </c>
      <c r="B211">
        <v>2010</v>
      </c>
      <c r="C211">
        <v>1</v>
      </c>
      <c r="D211" s="39">
        <v>32</v>
      </c>
      <c r="E211" s="39">
        <v>167494</v>
      </c>
      <c r="F211" s="40">
        <v>39904</v>
      </c>
      <c r="G211" s="40">
        <v>40298</v>
      </c>
      <c r="H211" s="41" t="s">
        <v>79</v>
      </c>
      <c r="I211">
        <v>1614003646</v>
      </c>
    </row>
    <row r="212" spans="1:9" x14ac:dyDescent="0.2">
      <c r="A212" t="s">
        <v>60</v>
      </c>
      <c r="B212">
        <v>2010</v>
      </c>
      <c r="C212">
        <v>1</v>
      </c>
      <c r="D212" s="39">
        <v>2</v>
      </c>
      <c r="E212" s="39">
        <v>10722</v>
      </c>
      <c r="F212" s="40">
        <v>39904</v>
      </c>
      <c r="G212" s="40">
        <v>40298</v>
      </c>
      <c r="H212" s="41" t="s">
        <v>79</v>
      </c>
      <c r="I212">
        <v>1614003953</v>
      </c>
    </row>
    <row r="213" spans="1:9" x14ac:dyDescent="0.2">
      <c r="A213" t="s">
        <v>60</v>
      </c>
      <c r="B213">
        <v>2010</v>
      </c>
      <c r="C213">
        <v>1</v>
      </c>
      <c r="D213" s="39">
        <v>156</v>
      </c>
      <c r="E213" s="39">
        <v>941734</v>
      </c>
      <c r="F213" s="40">
        <v>39904</v>
      </c>
      <c r="G213" s="40">
        <v>40298</v>
      </c>
      <c r="H213" s="41" t="s">
        <v>79</v>
      </c>
      <c r="I213">
        <v>1614003652</v>
      </c>
    </row>
    <row r="214" spans="1:9" x14ac:dyDescent="0.2">
      <c r="A214" t="s">
        <v>60</v>
      </c>
      <c r="B214">
        <v>2010</v>
      </c>
      <c r="C214">
        <v>1</v>
      </c>
      <c r="D214" s="39">
        <v>30</v>
      </c>
      <c r="E214" s="39">
        <v>172135</v>
      </c>
      <c r="F214" s="40">
        <v>39904</v>
      </c>
      <c r="G214" s="40">
        <v>40298</v>
      </c>
      <c r="H214" s="41" t="s">
        <v>79</v>
      </c>
      <c r="I214">
        <v>1614003653</v>
      </c>
    </row>
    <row r="215" spans="1:9" x14ac:dyDescent="0.2">
      <c r="A215" t="s">
        <v>60</v>
      </c>
      <c r="B215">
        <v>2010</v>
      </c>
      <c r="C215">
        <v>1</v>
      </c>
      <c r="D215" s="39">
        <v>146</v>
      </c>
      <c r="E215" s="39">
        <v>598973</v>
      </c>
      <c r="F215" s="40">
        <v>39904</v>
      </c>
      <c r="G215" s="40">
        <v>40298</v>
      </c>
      <c r="H215" s="41" t="s">
        <v>79</v>
      </c>
      <c r="I215">
        <v>1614003644</v>
      </c>
    </row>
    <row r="216" spans="1:9" x14ac:dyDescent="0.2">
      <c r="A216" t="s">
        <v>60</v>
      </c>
      <c r="B216">
        <v>2010</v>
      </c>
      <c r="C216">
        <v>1</v>
      </c>
      <c r="D216" s="39">
        <v>4</v>
      </c>
      <c r="E216" s="39">
        <v>7641</v>
      </c>
      <c r="F216" s="40">
        <v>39904</v>
      </c>
      <c r="G216" s="40">
        <v>40298</v>
      </c>
      <c r="H216" s="41" t="s">
        <v>79</v>
      </c>
      <c r="I216">
        <v>1614003648</v>
      </c>
    </row>
    <row r="217" spans="1:9" x14ac:dyDescent="0.2">
      <c r="A217" t="s">
        <v>60</v>
      </c>
      <c r="B217">
        <v>2011</v>
      </c>
      <c r="C217">
        <v>2</v>
      </c>
      <c r="D217" s="39">
        <v>1</v>
      </c>
      <c r="E217" s="39">
        <v>4555</v>
      </c>
      <c r="F217" s="40">
        <v>39904</v>
      </c>
      <c r="G217" s="40">
        <v>40298</v>
      </c>
      <c r="H217" s="41" t="s">
        <v>78</v>
      </c>
      <c r="I217">
        <v>1614005184</v>
      </c>
    </row>
    <row r="218" spans="1:9" x14ac:dyDescent="0.2">
      <c r="A218" t="s">
        <v>60</v>
      </c>
      <c r="B218">
        <v>2010</v>
      </c>
      <c r="C218">
        <v>1</v>
      </c>
      <c r="D218" s="39">
        <v>24</v>
      </c>
      <c r="E218" s="39">
        <v>122197</v>
      </c>
      <c r="F218" s="40">
        <v>39904</v>
      </c>
      <c r="G218" s="40">
        <v>40298</v>
      </c>
      <c r="H218" s="41" t="s">
        <v>79</v>
      </c>
      <c r="I218">
        <v>1614004482</v>
      </c>
    </row>
    <row r="219" spans="1:9" x14ac:dyDescent="0.2">
      <c r="A219" t="s">
        <v>60</v>
      </c>
      <c r="B219">
        <v>2010</v>
      </c>
      <c r="C219">
        <v>1</v>
      </c>
      <c r="D219" s="39">
        <v>43</v>
      </c>
      <c r="E219" s="39">
        <v>127498</v>
      </c>
      <c r="F219" s="40">
        <v>39904</v>
      </c>
      <c r="G219" s="40">
        <v>40298</v>
      </c>
      <c r="H219" s="41" t="s">
        <v>79</v>
      </c>
      <c r="I219">
        <v>1614004416</v>
      </c>
    </row>
    <row r="220" spans="1:9" x14ac:dyDescent="0.2">
      <c r="A220" t="s">
        <v>64</v>
      </c>
      <c r="B220">
        <v>2010</v>
      </c>
      <c r="C220">
        <v>1</v>
      </c>
      <c r="D220" s="39">
        <v>9</v>
      </c>
      <c r="E220" s="39">
        <v>11910</v>
      </c>
      <c r="F220" s="40">
        <v>39911</v>
      </c>
      <c r="G220" s="40">
        <v>40298</v>
      </c>
      <c r="H220" s="41" t="s">
        <v>79</v>
      </c>
      <c r="I220">
        <v>1660060021</v>
      </c>
    </row>
    <row r="221" spans="1:9" x14ac:dyDescent="0.2">
      <c r="A221" t="s">
        <v>67</v>
      </c>
      <c r="B221">
        <v>2010</v>
      </c>
      <c r="C221">
        <v>1</v>
      </c>
      <c r="D221" s="39">
        <v>2</v>
      </c>
      <c r="E221" s="39">
        <v>79893</v>
      </c>
      <c r="F221" s="40">
        <v>39904</v>
      </c>
      <c r="G221" s="40">
        <v>40298</v>
      </c>
      <c r="H221" s="41" t="s">
        <v>79</v>
      </c>
      <c r="I221">
        <v>48867008885</v>
      </c>
    </row>
    <row r="222" spans="1:9" x14ac:dyDescent="0.2">
      <c r="A222" t="s">
        <v>67</v>
      </c>
      <c r="B222">
        <v>2010</v>
      </c>
      <c r="C222">
        <v>1</v>
      </c>
      <c r="D222" s="39">
        <v>6</v>
      </c>
      <c r="E222" s="39">
        <v>125825</v>
      </c>
      <c r="F222" s="40">
        <v>39904</v>
      </c>
      <c r="G222" s="40">
        <v>40298</v>
      </c>
      <c r="H222" s="41" t="s">
        <v>79</v>
      </c>
      <c r="I222">
        <v>48867011924</v>
      </c>
    </row>
    <row r="223" spans="1:9" x14ac:dyDescent="0.2">
      <c r="A223" t="s">
        <v>68</v>
      </c>
      <c r="B223">
        <v>2010</v>
      </c>
      <c r="C223">
        <v>4</v>
      </c>
      <c r="D223" s="39">
        <v>1</v>
      </c>
      <c r="E223" s="39">
        <v>5760</v>
      </c>
      <c r="F223" s="40">
        <v>40255</v>
      </c>
      <c r="G223" s="40">
        <v>40633</v>
      </c>
      <c r="H223" s="41" t="s">
        <v>79</v>
      </c>
      <c r="I223">
        <v>1652000447</v>
      </c>
    </row>
    <row r="224" spans="1:9" x14ac:dyDescent="0.2">
      <c r="A224" t="s">
        <v>68</v>
      </c>
      <c r="B224">
        <v>2010</v>
      </c>
      <c r="C224">
        <v>6</v>
      </c>
      <c r="D224" s="39">
        <v>6</v>
      </c>
      <c r="E224" s="39">
        <v>8263</v>
      </c>
      <c r="F224" s="40">
        <v>40255</v>
      </c>
      <c r="G224" s="40">
        <v>40633</v>
      </c>
      <c r="H224" s="41" t="s">
        <v>79</v>
      </c>
      <c r="I224">
        <v>1657507204</v>
      </c>
    </row>
    <row r="225" spans="1:9" x14ac:dyDescent="0.2">
      <c r="A225" t="s">
        <v>68</v>
      </c>
      <c r="B225">
        <v>2010</v>
      </c>
      <c r="C225">
        <v>3</v>
      </c>
      <c r="D225" s="39">
        <v>1</v>
      </c>
      <c r="E225" s="39">
        <v>3470</v>
      </c>
      <c r="F225" s="40">
        <v>40255</v>
      </c>
      <c r="G225" s="40">
        <v>40633</v>
      </c>
      <c r="H225" s="41" t="s">
        <v>79</v>
      </c>
      <c r="I225">
        <v>1657507205</v>
      </c>
    </row>
    <row r="226" spans="1:9" x14ac:dyDescent="0.2">
      <c r="A226" t="s">
        <v>68</v>
      </c>
      <c r="B226">
        <v>2010</v>
      </c>
      <c r="C226">
        <v>6</v>
      </c>
      <c r="D226" s="39">
        <v>1</v>
      </c>
      <c r="E226" s="39">
        <v>715</v>
      </c>
      <c r="F226" s="40">
        <v>40255</v>
      </c>
      <c r="G226" s="40">
        <v>40633</v>
      </c>
      <c r="H226" s="41" t="s">
        <v>79</v>
      </c>
      <c r="I226">
        <v>1657507203</v>
      </c>
    </row>
    <row r="227" spans="1:9" x14ac:dyDescent="0.2">
      <c r="A227" t="s">
        <v>72</v>
      </c>
      <c r="B227">
        <v>2010</v>
      </c>
      <c r="C227">
        <v>1</v>
      </c>
      <c r="D227" s="39">
        <v>12</v>
      </c>
      <c r="E227" s="39">
        <v>7548.06</v>
      </c>
      <c r="F227" s="40">
        <v>39906</v>
      </c>
      <c r="G227" s="40">
        <v>40298</v>
      </c>
      <c r="H227" s="41" t="s">
        <v>79</v>
      </c>
      <c r="I227">
        <v>48944059242</v>
      </c>
    </row>
    <row r="228" spans="1:9" x14ac:dyDescent="0.2">
      <c r="A228" t="s">
        <v>69</v>
      </c>
      <c r="B228">
        <v>2010</v>
      </c>
      <c r="C228">
        <v>2</v>
      </c>
      <c r="D228" s="39">
        <v>1</v>
      </c>
      <c r="E228" s="39">
        <v>3049.8</v>
      </c>
      <c r="F228" s="40">
        <v>39904</v>
      </c>
      <c r="G228" s="40">
        <v>40298</v>
      </c>
      <c r="H228" s="41" t="s">
        <v>78</v>
      </c>
      <c r="I228">
        <v>48907102488</v>
      </c>
    </row>
    <row r="229" spans="1:9" x14ac:dyDescent="0.2">
      <c r="A229" t="s">
        <v>69</v>
      </c>
      <c r="B229">
        <v>2010</v>
      </c>
      <c r="C229">
        <v>1</v>
      </c>
      <c r="D229" s="39">
        <v>9</v>
      </c>
      <c r="E229" s="39">
        <v>27537.4</v>
      </c>
      <c r="F229" s="40">
        <v>39904</v>
      </c>
      <c r="G229" s="40">
        <v>40298</v>
      </c>
      <c r="H229" s="41" t="s">
        <v>79</v>
      </c>
      <c r="I229">
        <v>48943602488</v>
      </c>
    </row>
    <row r="230" spans="1:9" x14ac:dyDescent="0.2">
      <c r="A230" t="s">
        <v>69</v>
      </c>
      <c r="B230">
        <v>2010</v>
      </c>
      <c r="C230">
        <v>1</v>
      </c>
      <c r="D230" s="39">
        <v>107</v>
      </c>
      <c r="E230" s="39">
        <v>782502.71</v>
      </c>
      <c r="F230" s="40">
        <v>39904</v>
      </c>
      <c r="G230" s="40">
        <v>40298</v>
      </c>
      <c r="H230" s="41" t="s">
        <v>79</v>
      </c>
      <c r="I230">
        <v>52029202488</v>
      </c>
    </row>
    <row r="231" spans="1:9" x14ac:dyDescent="0.2">
      <c r="A231" t="s">
        <v>69</v>
      </c>
      <c r="B231">
        <v>2010</v>
      </c>
      <c r="C231">
        <v>2</v>
      </c>
      <c r="D231" s="39">
        <v>8</v>
      </c>
      <c r="E231" s="39">
        <v>61933.32</v>
      </c>
      <c r="F231" s="40">
        <v>39904</v>
      </c>
      <c r="G231" s="40">
        <v>40298</v>
      </c>
      <c r="H231" s="41" t="s">
        <v>79</v>
      </c>
      <c r="I231">
        <v>52029200523</v>
      </c>
    </row>
    <row r="232" spans="1:9" x14ac:dyDescent="0.2">
      <c r="A232" t="s">
        <v>69</v>
      </c>
      <c r="B232">
        <v>2010</v>
      </c>
      <c r="C232">
        <v>1</v>
      </c>
      <c r="D232" s="39">
        <v>6</v>
      </c>
      <c r="E232" s="39">
        <v>10788</v>
      </c>
      <c r="F232" s="40">
        <v>39904</v>
      </c>
      <c r="G232" s="40">
        <v>40298</v>
      </c>
      <c r="H232" s="41" t="s">
        <v>79</v>
      </c>
      <c r="I232">
        <v>48943402488</v>
      </c>
    </row>
    <row r="233" spans="1:9" x14ac:dyDescent="0.2">
      <c r="A233" t="s">
        <v>74</v>
      </c>
      <c r="B233">
        <v>2010</v>
      </c>
      <c r="C233">
        <v>1</v>
      </c>
      <c r="D233" s="39">
        <v>10</v>
      </c>
      <c r="E233" s="39">
        <v>50768</v>
      </c>
      <c r="F233" s="40">
        <v>39904</v>
      </c>
      <c r="G233" s="40">
        <v>40298</v>
      </c>
      <c r="H233" s="41" t="s">
        <v>79</v>
      </c>
      <c r="I233">
        <v>48943043087</v>
      </c>
    </row>
    <row r="234" spans="1:9" x14ac:dyDescent="0.2">
      <c r="A234" t="s">
        <v>74</v>
      </c>
      <c r="B234">
        <v>2010</v>
      </c>
      <c r="C234">
        <v>1</v>
      </c>
      <c r="D234" s="39">
        <v>3</v>
      </c>
      <c r="E234" s="39">
        <v>21867.4</v>
      </c>
      <c r="F234" s="40">
        <v>39904</v>
      </c>
      <c r="G234" s="40">
        <v>40298</v>
      </c>
      <c r="H234" s="41" t="s">
        <v>79</v>
      </c>
      <c r="I234">
        <v>48943043095</v>
      </c>
    </row>
    <row r="235" spans="1:9" x14ac:dyDescent="0.2">
      <c r="A235" t="s">
        <v>74</v>
      </c>
      <c r="B235">
        <v>2010</v>
      </c>
      <c r="C235">
        <v>1</v>
      </c>
      <c r="D235" s="39">
        <v>12</v>
      </c>
      <c r="E235" s="39">
        <v>67000.800000000003</v>
      </c>
      <c r="F235" s="40">
        <v>39904</v>
      </c>
      <c r="G235" s="40">
        <v>40298</v>
      </c>
      <c r="H235" s="41" t="s">
        <v>79</v>
      </c>
      <c r="I235">
        <v>48943043109</v>
      </c>
    </row>
    <row r="236" spans="1:9" x14ac:dyDescent="0.2">
      <c r="A236" t="s">
        <v>74</v>
      </c>
      <c r="B236">
        <v>2010</v>
      </c>
      <c r="C236">
        <v>4</v>
      </c>
      <c r="D236" s="39">
        <v>3</v>
      </c>
      <c r="E236" s="39">
        <v>15516</v>
      </c>
      <c r="F236" s="40">
        <v>39904</v>
      </c>
      <c r="G236" s="40">
        <v>40298</v>
      </c>
      <c r="H236" s="41" t="s">
        <v>79</v>
      </c>
      <c r="I236">
        <v>48943043176</v>
      </c>
    </row>
    <row r="237" spans="1:9" x14ac:dyDescent="0.2">
      <c r="A237" t="s">
        <v>74</v>
      </c>
      <c r="B237">
        <v>2011</v>
      </c>
      <c r="C237">
        <v>6</v>
      </c>
      <c r="D237" s="39">
        <v>1</v>
      </c>
      <c r="E237" s="39">
        <v>2008</v>
      </c>
      <c r="F237" s="40">
        <v>39904</v>
      </c>
      <c r="G237" s="40">
        <v>40298</v>
      </c>
      <c r="H237" s="41" t="s">
        <v>78</v>
      </c>
      <c r="I237">
        <v>48943047090</v>
      </c>
    </row>
    <row r="238" spans="1:9" x14ac:dyDescent="0.2">
      <c r="A238" t="s">
        <v>74</v>
      </c>
      <c r="B238">
        <v>2011</v>
      </c>
      <c r="C238">
        <v>4</v>
      </c>
      <c r="D238" s="39">
        <v>1</v>
      </c>
      <c r="E238" s="39">
        <v>6633.36</v>
      </c>
      <c r="F238" s="40">
        <v>39904</v>
      </c>
      <c r="G238" s="40">
        <v>40298</v>
      </c>
      <c r="H238" s="41" t="s">
        <v>78</v>
      </c>
      <c r="I238">
        <v>48943047112</v>
      </c>
    </row>
    <row r="239" spans="1:9" x14ac:dyDescent="0.2">
      <c r="A239" t="s">
        <v>74</v>
      </c>
      <c r="B239">
        <v>2011</v>
      </c>
      <c r="C239">
        <v>5</v>
      </c>
      <c r="D239" s="39">
        <v>2</v>
      </c>
      <c r="E239" s="39">
        <v>25614.36</v>
      </c>
      <c r="F239" s="40">
        <v>39904</v>
      </c>
      <c r="G239" s="40">
        <v>40298</v>
      </c>
      <c r="H239" s="41" t="s">
        <v>78</v>
      </c>
      <c r="I239">
        <v>48943047120</v>
      </c>
    </row>
    <row r="240" spans="1:9" x14ac:dyDescent="0.2">
      <c r="A240" t="s">
        <v>74</v>
      </c>
      <c r="B240">
        <v>2011</v>
      </c>
      <c r="C240">
        <v>4</v>
      </c>
      <c r="D240" s="39">
        <v>1</v>
      </c>
      <c r="E240" s="39">
        <v>1668.33</v>
      </c>
      <c r="F240" s="40">
        <v>39904</v>
      </c>
      <c r="G240" s="40">
        <v>40298</v>
      </c>
      <c r="H240" s="41" t="s">
        <v>78</v>
      </c>
      <c r="I240">
        <v>48943047104</v>
      </c>
    </row>
    <row r="241" spans="1:9" x14ac:dyDescent="0.2">
      <c r="A241" t="s">
        <v>74</v>
      </c>
      <c r="B241">
        <v>2010</v>
      </c>
      <c r="C241">
        <v>1</v>
      </c>
      <c r="D241" s="39">
        <v>2</v>
      </c>
      <c r="E241" s="39">
        <v>30024</v>
      </c>
      <c r="F241" s="40">
        <v>40207</v>
      </c>
      <c r="G241" s="40">
        <v>40574</v>
      </c>
      <c r="H241" s="41" t="s">
        <v>79</v>
      </c>
      <c r="I241">
        <v>48943044237</v>
      </c>
    </row>
    <row r="242" spans="1:9" x14ac:dyDescent="0.2">
      <c r="A242" t="s">
        <v>63</v>
      </c>
      <c r="B242">
        <v>2010</v>
      </c>
      <c r="C242">
        <v>1</v>
      </c>
      <c r="D242" s="39">
        <v>26</v>
      </c>
      <c r="E242" s="39">
        <v>12372.23</v>
      </c>
      <c r="F242" s="40">
        <v>39904</v>
      </c>
      <c r="G242" s="40">
        <v>40298</v>
      </c>
      <c r="H242" s="41" t="s">
        <v>79</v>
      </c>
      <c r="I242">
        <v>1780526093</v>
      </c>
    </row>
    <row r="243" spans="1:9" x14ac:dyDescent="0.2">
      <c r="A243" t="s">
        <v>63</v>
      </c>
      <c r="B243">
        <v>2010</v>
      </c>
      <c r="C243">
        <v>1</v>
      </c>
      <c r="D243" s="39">
        <v>37</v>
      </c>
      <c r="E243" s="39">
        <v>16344.89</v>
      </c>
      <c r="F243" s="40">
        <v>39904</v>
      </c>
      <c r="G243" s="40">
        <v>40298</v>
      </c>
      <c r="H243" s="41" t="s">
        <v>79</v>
      </c>
      <c r="I243">
        <v>1780526131</v>
      </c>
    </row>
    <row r="244" spans="1:9" x14ac:dyDescent="0.2">
      <c r="A244" t="s">
        <v>63</v>
      </c>
      <c r="B244">
        <v>2010</v>
      </c>
      <c r="C244">
        <v>2</v>
      </c>
      <c r="D244" s="39">
        <v>1</v>
      </c>
      <c r="E244" s="39">
        <v>2447</v>
      </c>
      <c r="F244" s="40">
        <v>39904</v>
      </c>
      <c r="G244" s="40">
        <v>40298</v>
      </c>
      <c r="H244" s="41" t="s">
        <v>79</v>
      </c>
      <c r="I244">
        <v>1780526166</v>
      </c>
    </row>
    <row r="245" spans="1:9" x14ac:dyDescent="0.2">
      <c r="A245" t="s">
        <v>63</v>
      </c>
      <c r="B245">
        <v>2010</v>
      </c>
      <c r="C245">
        <v>2</v>
      </c>
      <c r="D245" s="39">
        <v>3</v>
      </c>
      <c r="E245" s="39">
        <v>3373.3</v>
      </c>
      <c r="F245" s="40">
        <v>39904</v>
      </c>
      <c r="G245" s="40">
        <v>40298</v>
      </c>
      <c r="H245" s="41" t="s">
        <v>79</v>
      </c>
      <c r="I245">
        <v>1782126107</v>
      </c>
    </row>
    <row r="246" spans="1:9" x14ac:dyDescent="0.2">
      <c r="A246" t="s">
        <v>61</v>
      </c>
      <c r="B246">
        <v>2010</v>
      </c>
      <c r="C246">
        <v>1</v>
      </c>
      <c r="D246" s="39">
        <v>34</v>
      </c>
      <c r="E246" s="39">
        <v>29881.360000000001</v>
      </c>
      <c r="F246" s="40">
        <v>39904</v>
      </c>
      <c r="G246" s="40">
        <v>40298</v>
      </c>
      <c r="H246" s="41" t="s">
        <v>79</v>
      </c>
      <c r="I246">
        <v>1305800002</v>
      </c>
    </row>
    <row r="247" spans="1:9" x14ac:dyDescent="0.2">
      <c r="A247" t="s">
        <v>61</v>
      </c>
      <c r="B247">
        <v>2010</v>
      </c>
      <c r="C247">
        <v>1</v>
      </c>
      <c r="D247" s="39">
        <v>29</v>
      </c>
      <c r="E247" s="39">
        <v>8071.39</v>
      </c>
      <c r="F247" s="40">
        <v>39904</v>
      </c>
      <c r="G247" s="40">
        <v>40298</v>
      </c>
      <c r="H247" s="41" t="s">
        <v>79</v>
      </c>
      <c r="I247">
        <v>1332700002</v>
      </c>
    </row>
    <row r="248" spans="1:9" x14ac:dyDescent="0.2">
      <c r="A248" t="s">
        <v>61</v>
      </c>
      <c r="B248">
        <v>2010</v>
      </c>
      <c r="C248">
        <v>1</v>
      </c>
      <c r="D248" s="39">
        <v>12</v>
      </c>
      <c r="E248" s="39">
        <v>7793.77</v>
      </c>
      <c r="F248" s="40">
        <v>39904</v>
      </c>
      <c r="G248" s="40">
        <v>40298</v>
      </c>
      <c r="H248" s="41" t="s">
        <v>79</v>
      </c>
      <c r="I248">
        <v>1305800001</v>
      </c>
    </row>
    <row r="249" spans="1:9" x14ac:dyDescent="0.2">
      <c r="A249" t="s">
        <v>61</v>
      </c>
      <c r="B249">
        <v>2010</v>
      </c>
      <c r="C249">
        <v>1</v>
      </c>
      <c r="D249" s="39">
        <v>20</v>
      </c>
      <c r="E249" s="39">
        <v>3141.03</v>
      </c>
      <c r="F249" s="40">
        <v>39904</v>
      </c>
      <c r="G249" s="40">
        <v>40298</v>
      </c>
      <c r="H249" s="41" t="s">
        <v>79</v>
      </c>
      <c r="I249">
        <v>1332700001</v>
      </c>
    </row>
    <row r="250" spans="1:9" x14ac:dyDescent="0.2">
      <c r="A250" t="s">
        <v>62</v>
      </c>
      <c r="B250">
        <v>2010</v>
      </c>
      <c r="C250">
        <v>1</v>
      </c>
      <c r="D250" s="39">
        <v>15.571428571428571</v>
      </c>
      <c r="E250" s="39">
        <v>1147.42</v>
      </c>
      <c r="F250" s="40">
        <v>39910</v>
      </c>
      <c r="G250" s="40">
        <v>40298</v>
      </c>
      <c r="H250" s="41" t="s">
        <v>79</v>
      </c>
      <c r="I250">
        <v>1550076696</v>
      </c>
    </row>
    <row r="251" spans="1:9" x14ac:dyDescent="0.2">
      <c r="A251" t="s">
        <v>62</v>
      </c>
      <c r="B251">
        <v>2010</v>
      </c>
      <c r="C251">
        <v>1</v>
      </c>
      <c r="D251" s="39">
        <v>1</v>
      </c>
      <c r="E251" s="39">
        <v>179</v>
      </c>
      <c r="F251" s="40">
        <v>39910</v>
      </c>
      <c r="G251" s="40">
        <v>40298</v>
      </c>
      <c r="H251" s="41" t="s">
        <v>78</v>
      </c>
      <c r="I251">
        <v>1550079457</v>
      </c>
    </row>
    <row r="252" spans="1:9" x14ac:dyDescent="0.2">
      <c r="A252" t="s">
        <v>63</v>
      </c>
      <c r="B252">
        <v>2010</v>
      </c>
      <c r="C252">
        <v>1</v>
      </c>
      <c r="D252" s="39">
        <v>9</v>
      </c>
      <c r="E252" s="39">
        <v>2882.04</v>
      </c>
      <c r="F252" s="40">
        <v>39905</v>
      </c>
      <c r="G252" s="40">
        <v>40298</v>
      </c>
      <c r="H252" s="41" t="s">
        <v>79</v>
      </c>
      <c r="I252">
        <v>1780531348</v>
      </c>
    </row>
    <row r="253" spans="1:9" x14ac:dyDescent="0.2">
      <c r="A253" t="s">
        <v>60</v>
      </c>
      <c r="B253">
        <v>2010</v>
      </c>
      <c r="C253">
        <v>1</v>
      </c>
      <c r="D253" s="39">
        <v>9</v>
      </c>
      <c r="E253" s="39">
        <v>18956</v>
      </c>
      <c r="F253" s="40">
        <v>39912</v>
      </c>
      <c r="G253" s="40">
        <v>40298</v>
      </c>
      <c r="H253" s="41" t="s">
        <v>79</v>
      </c>
      <c r="I253">
        <v>1614004567</v>
      </c>
    </row>
    <row r="254" spans="1:9" x14ac:dyDescent="0.2">
      <c r="A254" t="s">
        <v>60</v>
      </c>
      <c r="B254">
        <v>2010</v>
      </c>
      <c r="C254">
        <v>3</v>
      </c>
      <c r="D254" s="39">
        <v>1</v>
      </c>
      <c r="E254" s="39">
        <v>3375</v>
      </c>
      <c r="F254" s="40">
        <v>39912</v>
      </c>
      <c r="G254" s="40">
        <v>40298</v>
      </c>
      <c r="H254" s="41" t="s">
        <v>78</v>
      </c>
      <c r="I254">
        <v>1614500314</v>
      </c>
    </row>
    <row r="255" spans="1:9" x14ac:dyDescent="0.2">
      <c r="A255" t="s">
        <v>66</v>
      </c>
      <c r="B255">
        <v>2011</v>
      </c>
      <c r="C255">
        <v>6</v>
      </c>
      <c r="D255" s="39">
        <v>4</v>
      </c>
      <c r="E255" s="39">
        <v>892</v>
      </c>
      <c r="F255" s="40">
        <v>40669</v>
      </c>
      <c r="G255" s="40">
        <v>41060</v>
      </c>
      <c r="H255" s="41" t="s">
        <v>79</v>
      </c>
      <c r="I255">
        <v>1761251195</v>
      </c>
    </row>
    <row r="256" spans="1:9" x14ac:dyDescent="0.2">
      <c r="A256" t="s">
        <v>66</v>
      </c>
      <c r="B256">
        <v>2011</v>
      </c>
      <c r="C256">
        <v>5</v>
      </c>
      <c r="D256" s="39">
        <v>5</v>
      </c>
      <c r="E256" s="39">
        <v>1921</v>
      </c>
      <c r="F256" s="40">
        <v>40669</v>
      </c>
      <c r="G256" s="40">
        <v>41060</v>
      </c>
      <c r="H256" s="41" t="s">
        <v>79</v>
      </c>
      <c r="I256">
        <v>1762451187</v>
      </c>
    </row>
    <row r="257" spans="1:9" x14ac:dyDescent="0.2">
      <c r="A257" t="s">
        <v>70</v>
      </c>
      <c r="B257">
        <v>2010</v>
      </c>
      <c r="C257">
        <v>1</v>
      </c>
      <c r="D257" s="39">
        <v>3</v>
      </c>
      <c r="E257" s="39">
        <v>344.97</v>
      </c>
      <c r="F257" s="40">
        <v>39913</v>
      </c>
      <c r="G257" s="40">
        <v>40298</v>
      </c>
      <c r="H257" s="41" t="s">
        <v>79</v>
      </c>
      <c r="I257">
        <v>48906370955</v>
      </c>
    </row>
    <row r="258" spans="1:9" x14ac:dyDescent="0.2">
      <c r="A258" t="s">
        <v>64</v>
      </c>
      <c r="B258">
        <v>2010</v>
      </c>
      <c r="C258">
        <v>1</v>
      </c>
      <c r="D258" s="39">
        <v>74</v>
      </c>
      <c r="E258" s="39">
        <v>176040.35</v>
      </c>
      <c r="F258" s="40">
        <v>39904</v>
      </c>
      <c r="G258" s="40">
        <v>40298</v>
      </c>
      <c r="H258" s="41" t="s">
        <v>79</v>
      </c>
      <c r="I258">
        <v>1660010180</v>
      </c>
    </row>
    <row r="259" spans="1:9" x14ac:dyDescent="0.2">
      <c r="A259" t="s">
        <v>67</v>
      </c>
      <c r="B259">
        <v>2010</v>
      </c>
      <c r="C259">
        <v>1</v>
      </c>
      <c r="D259" s="39">
        <v>3</v>
      </c>
      <c r="E259" s="39">
        <v>130185</v>
      </c>
      <c r="F259" s="40">
        <v>39913</v>
      </c>
      <c r="G259" s="40">
        <v>40298</v>
      </c>
      <c r="H259" s="41" t="s">
        <v>79</v>
      </c>
      <c r="I259">
        <v>48867011630</v>
      </c>
    </row>
    <row r="260" spans="1:9" x14ac:dyDescent="0.2">
      <c r="A260" t="s">
        <v>67</v>
      </c>
      <c r="B260">
        <v>2010</v>
      </c>
      <c r="C260">
        <v>9</v>
      </c>
      <c r="D260" s="39">
        <v>7</v>
      </c>
      <c r="E260" s="39">
        <v>454683</v>
      </c>
      <c r="F260" s="40">
        <v>39913</v>
      </c>
      <c r="G260" s="40">
        <v>40298</v>
      </c>
      <c r="H260" s="41" t="s">
        <v>78</v>
      </c>
      <c r="I260">
        <v>48867012505</v>
      </c>
    </row>
    <row r="261" spans="1:9" x14ac:dyDescent="0.2">
      <c r="A261" t="s">
        <v>64</v>
      </c>
      <c r="B261">
        <v>2010</v>
      </c>
      <c r="C261">
        <v>1</v>
      </c>
      <c r="D261" s="39">
        <v>157</v>
      </c>
      <c r="E261" s="39">
        <v>1014808.1499999999</v>
      </c>
      <c r="F261" s="40">
        <v>39904</v>
      </c>
      <c r="G261" s="40">
        <v>40298</v>
      </c>
      <c r="H261" s="41" t="s">
        <v>79</v>
      </c>
      <c r="I261">
        <v>1660100021</v>
      </c>
    </row>
    <row r="262" spans="1:9" x14ac:dyDescent="0.2">
      <c r="A262" t="s">
        <v>64</v>
      </c>
      <c r="B262">
        <v>2010</v>
      </c>
      <c r="C262">
        <v>1</v>
      </c>
      <c r="D262" s="39">
        <v>140</v>
      </c>
      <c r="E262" s="39">
        <v>316010.95</v>
      </c>
      <c r="F262" s="40">
        <v>39904</v>
      </c>
      <c r="G262" s="40">
        <v>40298</v>
      </c>
      <c r="H262" s="41" t="s">
        <v>79</v>
      </c>
      <c r="I262">
        <v>1660100022</v>
      </c>
    </row>
    <row r="263" spans="1:9" x14ac:dyDescent="0.2">
      <c r="A263" t="s">
        <v>64</v>
      </c>
      <c r="B263">
        <v>2010</v>
      </c>
      <c r="C263">
        <v>1</v>
      </c>
      <c r="D263" s="39">
        <v>30</v>
      </c>
      <c r="E263" s="39">
        <v>38328.1</v>
      </c>
      <c r="F263" s="40">
        <v>39904</v>
      </c>
      <c r="G263" s="40">
        <v>40298</v>
      </c>
      <c r="H263" s="41" t="s">
        <v>79</v>
      </c>
      <c r="I263">
        <v>1660100023</v>
      </c>
    </row>
    <row r="264" spans="1:9" x14ac:dyDescent="0.2">
      <c r="A264" t="s">
        <v>64</v>
      </c>
      <c r="B264">
        <v>2010</v>
      </c>
      <c r="C264">
        <v>3</v>
      </c>
      <c r="D264" s="39">
        <v>2</v>
      </c>
      <c r="E264" s="39">
        <v>2435</v>
      </c>
      <c r="F264" s="40">
        <v>39904</v>
      </c>
      <c r="G264" s="40">
        <v>40298</v>
      </c>
      <c r="H264" s="41" t="s">
        <v>79</v>
      </c>
      <c r="I264">
        <v>1660100027</v>
      </c>
    </row>
    <row r="265" spans="1:9" x14ac:dyDescent="0.2">
      <c r="A265" t="s">
        <v>64</v>
      </c>
      <c r="B265">
        <v>2011</v>
      </c>
      <c r="C265">
        <v>6</v>
      </c>
      <c r="D265" s="39">
        <v>37</v>
      </c>
      <c r="E265" s="39">
        <v>167910</v>
      </c>
      <c r="F265" s="40">
        <v>39904</v>
      </c>
      <c r="G265" s="40">
        <v>40298</v>
      </c>
      <c r="H265" s="41" t="s">
        <v>78</v>
      </c>
      <c r="I265">
        <v>1660000049</v>
      </c>
    </row>
    <row r="266" spans="1:9" x14ac:dyDescent="0.2">
      <c r="A266" t="s">
        <v>64</v>
      </c>
      <c r="B266">
        <v>2010</v>
      </c>
      <c r="C266">
        <v>1</v>
      </c>
      <c r="D266" s="39">
        <v>23</v>
      </c>
      <c r="E266" s="39">
        <v>68373</v>
      </c>
      <c r="F266" s="40">
        <v>39904</v>
      </c>
      <c r="G266" s="40">
        <v>40298</v>
      </c>
      <c r="H266" s="41" t="s">
        <v>79</v>
      </c>
      <c r="I266">
        <v>1660100024</v>
      </c>
    </row>
    <row r="267" spans="1:9" x14ac:dyDescent="0.2">
      <c r="A267" t="s">
        <v>68</v>
      </c>
      <c r="B267">
        <v>2010</v>
      </c>
      <c r="C267">
        <v>1</v>
      </c>
      <c r="D267" s="39">
        <v>2</v>
      </c>
      <c r="E267" s="39">
        <v>4000</v>
      </c>
      <c r="F267" s="40">
        <v>39946</v>
      </c>
      <c r="G267" s="40">
        <v>40329</v>
      </c>
      <c r="H267" s="41" t="s">
        <v>79</v>
      </c>
      <c r="I267">
        <v>1654007079</v>
      </c>
    </row>
    <row r="268" spans="1:9" x14ac:dyDescent="0.2">
      <c r="A268" t="s">
        <v>72</v>
      </c>
      <c r="B268">
        <v>2010</v>
      </c>
      <c r="C268">
        <v>1</v>
      </c>
      <c r="D268" s="39">
        <v>6</v>
      </c>
      <c r="E268" s="39">
        <v>3771.87</v>
      </c>
      <c r="F268" s="40">
        <v>39919</v>
      </c>
      <c r="G268" s="40">
        <v>40298</v>
      </c>
      <c r="H268" s="41" t="s">
        <v>79</v>
      </c>
      <c r="I268">
        <v>48944092851</v>
      </c>
    </row>
    <row r="269" spans="1:9" x14ac:dyDescent="0.2">
      <c r="A269" t="s">
        <v>74</v>
      </c>
      <c r="B269">
        <v>2010</v>
      </c>
      <c r="C269">
        <v>10</v>
      </c>
      <c r="D269" s="39">
        <v>2</v>
      </c>
      <c r="E269" s="39">
        <v>28380</v>
      </c>
      <c r="F269" s="40">
        <v>40469</v>
      </c>
      <c r="G269" s="40">
        <v>40847</v>
      </c>
      <c r="H269" s="41" t="s">
        <v>79</v>
      </c>
      <c r="I269">
        <v>48943046825</v>
      </c>
    </row>
    <row r="270" spans="1:9" x14ac:dyDescent="0.2">
      <c r="A270" t="s">
        <v>61</v>
      </c>
      <c r="B270">
        <v>2011</v>
      </c>
      <c r="C270">
        <v>6</v>
      </c>
      <c r="D270" s="39">
        <v>25</v>
      </c>
      <c r="E270" s="39">
        <v>14517.44</v>
      </c>
      <c r="F270" s="40">
        <v>40702</v>
      </c>
      <c r="G270" s="40">
        <v>41090</v>
      </c>
      <c r="H270" s="41" t="s">
        <v>79</v>
      </c>
      <c r="I270">
        <v>1305873120</v>
      </c>
    </row>
    <row r="271" spans="1:9" x14ac:dyDescent="0.2">
      <c r="A271" t="s">
        <v>61</v>
      </c>
      <c r="B271">
        <v>2011</v>
      </c>
      <c r="C271">
        <v>6</v>
      </c>
      <c r="D271" s="39">
        <v>33</v>
      </c>
      <c r="E271" s="39">
        <v>12704.22</v>
      </c>
      <c r="F271" s="40">
        <v>40702</v>
      </c>
      <c r="G271" s="40">
        <v>41090</v>
      </c>
      <c r="H271" s="41" t="s">
        <v>79</v>
      </c>
      <c r="I271">
        <v>1332773122</v>
      </c>
    </row>
    <row r="272" spans="1:9" x14ac:dyDescent="0.2">
      <c r="A272" t="s">
        <v>66</v>
      </c>
      <c r="B272">
        <v>2011</v>
      </c>
      <c r="C272">
        <v>2</v>
      </c>
      <c r="D272" s="39">
        <v>2</v>
      </c>
      <c r="E272" s="39">
        <v>1758</v>
      </c>
      <c r="F272" s="40">
        <v>40578</v>
      </c>
      <c r="G272" s="40">
        <v>40968</v>
      </c>
      <c r="H272" s="41" t="s">
        <v>79</v>
      </c>
      <c r="I272">
        <v>1760372982</v>
      </c>
    </row>
    <row r="273" spans="1:9" x14ac:dyDescent="0.2">
      <c r="A273" t="s">
        <v>66</v>
      </c>
      <c r="B273">
        <v>2011</v>
      </c>
      <c r="C273">
        <v>3</v>
      </c>
      <c r="D273" s="39">
        <v>1</v>
      </c>
      <c r="E273" s="39">
        <v>264</v>
      </c>
      <c r="F273" s="40">
        <v>40578</v>
      </c>
      <c r="G273" s="40">
        <v>40968</v>
      </c>
      <c r="H273" s="41" t="s">
        <v>79</v>
      </c>
      <c r="I273">
        <v>1762451071</v>
      </c>
    </row>
    <row r="274" spans="1:9" x14ac:dyDescent="0.2">
      <c r="A274" t="s">
        <v>66</v>
      </c>
      <c r="B274">
        <v>2011</v>
      </c>
      <c r="C274">
        <v>2</v>
      </c>
      <c r="D274" s="39">
        <v>4</v>
      </c>
      <c r="E274" s="39">
        <v>1422</v>
      </c>
      <c r="F274" s="40">
        <v>40578</v>
      </c>
      <c r="G274" s="40">
        <v>40968</v>
      </c>
      <c r="H274" s="41" t="s">
        <v>79</v>
      </c>
      <c r="I274">
        <v>1762451098</v>
      </c>
    </row>
    <row r="275" spans="1:9" x14ac:dyDescent="0.2">
      <c r="A275" t="s">
        <v>66</v>
      </c>
      <c r="B275">
        <v>2011</v>
      </c>
      <c r="C275">
        <v>2</v>
      </c>
      <c r="D275" s="39">
        <v>2</v>
      </c>
      <c r="E275" s="39">
        <v>247</v>
      </c>
      <c r="F275" s="40">
        <v>40578</v>
      </c>
      <c r="G275" s="40">
        <v>40968</v>
      </c>
      <c r="H275" s="41" t="s">
        <v>79</v>
      </c>
      <c r="I275">
        <v>1760372974</v>
      </c>
    </row>
    <row r="276" spans="1:9" x14ac:dyDescent="0.2">
      <c r="A276" t="s">
        <v>65</v>
      </c>
      <c r="B276">
        <v>2010</v>
      </c>
      <c r="C276">
        <v>1</v>
      </c>
      <c r="D276" s="39">
        <v>127</v>
      </c>
      <c r="E276" s="39">
        <v>8560.4000000000015</v>
      </c>
      <c r="F276" s="40">
        <v>39904</v>
      </c>
      <c r="G276" s="40">
        <v>40298</v>
      </c>
      <c r="H276" s="41" t="s">
        <v>79</v>
      </c>
      <c r="I276">
        <v>1725696331</v>
      </c>
    </row>
    <row r="277" spans="1:9" x14ac:dyDescent="0.2">
      <c r="A277" t="s">
        <v>65</v>
      </c>
      <c r="B277">
        <v>2010</v>
      </c>
      <c r="C277">
        <v>1</v>
      </c>
      <c r="D277" s="39">
        <v>31</v>
      </c>
      <c r="E277" s="39">
        <v>2727.79</v>
      </c>
      <c r="F277" s="40">
        <v>39904</v>
      </c>
      <c r="G277" s="40">
        <v>40298</v>
      </c>
      <c r="H277" s="41" t="s">
        <v>79</v>
      </c>
      <c r="I277">
        <v>1725696389</v>
      </c>
    </row>
    <row r="278" spans="1:9" x14ac:dyDescent="0.2">
      <c r="A278" t="s">
        <v>65</v>
      </c>
      <c r="B278">
        <v>2010</v>
      </c>
      <c r="C278">
        <v>1</v>
      </c>
      <c r="D278" s="39">
        <v>280</v>
      </c>
      <c r="E278" s="39">
        <v>45114.239999999998</v>
      </c>
      <c r="F278" s="40">
        <v>39904</v>
      </c>
      <c r="G278" s="40">
        <v>40298</v>
      </c>
      <c r="H278" s="41" t="s">
        <v>79</v>
      </c>
      <c r="I278">
        <v>1725696388</v>
      </c>
    </row>
    <row r="279" spans="1:9" x14ac:dyDescent="0.2">
      <c r="A279" t="s">
        <v>65</v>
      </c>
      <c r="B279">
        <v>2010</v>
      </c>
      <c r="C279">
        <v>2</v>
      </c>
      <c r="D279" s="39">
        <v>25</v>
      </c>
      <c r="E279" s="39">
        <v>1412.96</v>
      </c>
      <c r="F279" s="40">
        <v>39904</v>
      </c>
      <c r="G279" s="40">
        <v>40298</v>
      </c>
      <c r="H279" s="41" t="s">
        <v>79</v>
      </c>
      <c r="I279">
        <v>1725697079</v>
      </c>
    </row>
    <row r="280" spans="1:9" x14ac:dyDescent="0.2">
      <c r="A280" t="s">
        <v>65</v>
      </c>
      <c r="B280">
        <v>2010</v>
      </c>
      <c r="C280">
        <v>2</v>
      </c>
      <c r="D280" s="39">
        <v>1</v>
      </c>
      <c r="E280" s="39">
        <v>79.23</v>
      </c>
      <c r="F280" s="40">
        <v>39904</v>
      </c>
      <c r="G280" s="40">
        <v>40298</v>
      </c>
      <c r="H280" s="41" t="s">
        <v>79</v>
      </c>
      <c r="I280">
        <v>1725696390</v>
      </c>
    </row>
    <row r="281" spans="1:9" x14ac:dyDescent="0.2">
      <c r="A281" t="s">
        <v>65</v>
      </c>
      <c r="B281">
        <v>2010</v>
      </c>
      <c r="C281">
        <v>1</v>
      </c>
      <c r="D281" s="39">
        <v>73</v>
      </c>
      <c r="E281" s="39">
        <v>12765.34</v>
      </c>
      <c r="F281" s="40">
        <v>39904</v>
      </c>
      <c r="G281" s="40">
        <v>40298</v>
      </c>
      <c r="H281" s="41" t="s">
        <v>79</v>
      </c>
      <c r="I281">
        <v>1725696392</v>
      </c>
    </row>
    <row r="282" spans="1:9" x14ac:dyDescent="0.2">
      <c r="A282" t="s">
        <v>65</v>
      </c>
      <c r="B282">
        <v>2010</v>
      </c>
      <c r="C282">
        <v>1</v>
      </c>
      <c r="D282" s="39">
        <v>41</v>
      </c>
      <c r="E282" s="39">
        <v>4183.17</v>
      </c>
      <c r="F282" s="40">
        <v>39904</v>
      </c>
      <c r="G282" s="40">
        <v>40298</v>
      </c>
      <c r="H282" s="41" t="s">
        <v>79</v>
      </c>
      <c r="I282">
        <v>1725697448</v>
      </c>
    </row>
    <row r="283" spans="1:9" x14ac:dyDescent="0.2">
      <c r="A283" t="s">
        <v>65</v>
      </c>
      <c r="B283">
        <v>2010</v>
      </c>
      <c r="C283">
        <v>1</v>
      </c>
      <c r="D283" s="39">
        <v>0</v>
      </c>
      <c r="E283" s="39">
        <v>0</v>
      </c>
      <c r="F283" s="40">
        <v>39904</v>
      </c>
      <c r="G283" s="40">
        <v>40298</v>
      </c>
      <c r="H283" s="41" t="s">
        <v>79</v>
      </c>
      <c r="I283">
        <v>1725697449</v>
      </c>
    </row>
    <row r="284" spans="1:9" x14ac:dyDescent="0.2">
      <c r="A284" t="s">
        <v>65</v>
      </c>
      <c r="B284">
        <v>2010</v>
      </c>
      <c r="C284">
        <v>1</v>
      </c>
      <c r="D284" s="39">
        <v>43</v>
      </c>
      <c r="E284" s="39">
        <v>2790</v>
      </c>
      <c r="F284" s="40">
        <v>39904</v>
      </c>
      <c r="G284" s="40">
        <v>40298</v>
      </c>
      <c r="H284" s="41" t="s">
        <v>79</v>
      </c>
      <c r="I284">
        <v>1725696400</v>
      </c>
    </row>
    <row r="285" spans="1:9" x14ac:dyDescent="0.2">
      <c r="A285" t="s">
        <v>65</v>
      </c>
      <c r="B285">
        <v>2010</v>
      </c>
      <c r="C285">
        <v>1</v>
      </c>
      <c r="D285" s="39">
        <v>23</v>
      </c>
      <c r="E285" s="39">
        <v>1615.19</v>
      </c>
      <c r="F285" s="40">
        <v>39904</v>
      </c>
      <c r="G285" s="40">
        <v>40298</v>
      </c>
      <c r="H285" s="41" t="s">
        <v>79</v>
      </c>
      <c r="I285">
        <v>1725696397</v>
      </c>
    </row>
    <row r="286" spans="1:9" x14ac:dyDescent="0.2">
      <c r="A286" t="s">
        <v>66</v>
      </c>
      <c r="B286">
        <v>2010</v>
      </c>
      <c r="C286">
        <v>1</v>
      </c>
      <c r="D286" s="39">
        <v>24</v>
      </c>
      <c r="E286" s="39">
        <v>18223</v>
      </c>
      <c r="F286" s="40">
        <v>39904</v>
      </c>
      <c r="G286" s="40">
        <v>40298</v>
      </c>
      <c r="H286" s="41" t="s">
        <v>79</v>
      </c>
      <c r="I286">
        <v>1761291413</v>
      </c>
    </row>
    <row r="287" spans="1:9" x14ac:dyDescent="0.2">
      <c r="A287" t="s">
        <v>66</v>
      </c>
      <c r="B287">
        <v>2010</v>
      </c>
      <c r="C287">
        <v>1</v>
      </c>
      <c r="D287" s="39">
        <v>102</v>
      </c>
      <c r="E287" s="39">
        <v>68720</v>
      </c>
      <c r="F287" s="40">
        <v>39904</v>
      </c>
      <c r="G287" s="40">
        <v>40298</v>
      </c>
      <c r="H287" s="41" t="s">
        <v>79</v>
      </c>
      <c r="I287">
        <v>1762492142</v>
      </c>
    </row>
    <row r="288" spans="1:9" x14ac:dyDescent="0.2">
      <c r="A288" t="s">
        <v>66</v>
      </c>
      <c r="B288">
        <v>2010</v>
      </c>
      <c r="C288">
        <v>1</v>
      </c>
      <c r="D288" s="39">
        <v>27</v>
      </c>
      <c r="E288" s="39">
        <v>39016</v>
      </c>
      <c r="F288" s="40">
        <v>39904</v>
      </c>
      <c r="G288" s="40">
        <v>40298</v>
      </c>
      <c r="H288" s="41" t="s">
        <v>79</v>
      </c>
      <c r="I288">
        <v>1761293424</v>
      </c>
    </row>
    <row r="289" spans="1:9" x14ac:dyDescent="0.2">
      <c r="A289" t="s">
        <v>60</v>
      </c>
      <c r="B289">
        <v>2010</v>
      </c>
      <c r="C289">
        <v>1</v>
      </c>
      <c r="D289" s="39">
        <v>3</v>
      </c>
      <c r="E289" s="39">
        <v>5990</v>
      </c>
      <c r="F289" s="40">
        <v>39918</v>
      </c>
      <c r="G289" s="40">
        <v>40298</v>
      </c>
      <c r="H289" s="41" t="s">
        <v>79</v>
      </c>
      <c r="I289">
        <v>1612500081</v>
      </c>
    </row>
    <row r="290" spans="1:9" x14ac:dyDescent="0.2">
      <c r="A290" t="s">
        <v>60</v>
      </c>
      <c r="B290">
        <v>2010</v>
      </c>
      <c r="C290">
        <v>1</v>
      </c>
      <c r="D290" s="39">
        <v>7</v>
      </c>
      <c r="E290" s="39">
        <v>11886</v>
      </c>
      <c r="F290" s="40">
        <v>39904</v>
      </c>
      <c r="G290" s="40">
        <v>40298</v>
      </c>
      <c r="H290" s="41" t="s">
        <v>79</v>
      </c>
      <c r="I290">
        <v>1614004713</v>
      </c>
    </row>
    <row r="291" spans="1:9" x14ac:dyDescent="0.2">
      <c r="A291" t="s">
        <v>60</v>
      </c>
      <c r="B291">
        <v>2010</v>
      </c>
      <c r="C291">
        <v>1</v>
      </c>
      <c r="D291" s="39">
        <v>31</v>
      </c>
      <c r="E291" s="39">
        <v>56670</v>
      </c>
      <c r="F291" s="40">
        <v>39904</v>
      </c>
      <c r="G291" s="40">
        <v>40298</v>
      </c>
      <c r="H291" s="41" t="s">
        <v>79</v>
      </c>
      <c r="I291">
        <v>1614004725</v>
      </c>
    </row>
    <row r="292" spans="1:9" x14ac:dyDescent="0.2">
      <c r="A292" t="s">
        <v>60</v>
      </c>
      <c r="B292">
        <v>2010</v>
      </c>
      <c r="C292">
        <v>1</v>
      </c>
      <c r="D292" s="39">
        <v>1</v>
      </c>
      <c r="E292" s="39">
        <v>1400</v>
      </c>
      <c r="F292" s="40">
        <v>39904</v>
      </c>
      <c r="G292" s="40">
        <v>40298</v>
      </c>
      <c r="H292" s="41" t="s">
        <v>79</v>
      </c>
      <c r="I292">
        <v>1614004719</v>
      </c>
    </row>
    <row r="293" spans="1:9" x14ac:dyDescent="0.2">
      <c r="A293" t="s">
        <v>60</v>
      </c>
      <c r="B293">
        <v>2010</v>
      </c>
      <c r="C293">
        <v>2</v>
      </c>
      <c r="D293" s="39">
        <v>1</v>
      </c>
      <c r="E293" s="39">
        <v>5675</v>
      </c>
      <c r="F293" s="40">
        <v>39904</v>
      </c>
      <c r="G293" s="40">
        <v>40298</v>
      </c>
      <c r="H293" s="41" t="s">
        <v>79</v>
      </c>
      <c r="I293">
        <v>1614004718</v>
      </c>
    </row>
    <row r="294" spans="1:9" x14ac:dyDescent="0.2">
      <c r="A294" t="s">
        <v>60</v>
      </c>
      <c r="B294">
        <v>2010</v>
      </c>
      <c r="C294">
        <v>1</v>
      </c>
      <c r="D294" s="39">
        <v>1</v>
      </c>
      <c r="E294" s="39">
        <v>3160</v>
      </c>
      <c r="F294" s="40">
        <v>39904</v>
      </c>
      <c r="G294" s="40">
        <v>40298</v>
      </c>
      <c r="H294" s="41" t="s">
        <v>79</v>
      </c>
      <c r="I294">
        <v>1614004715</v>
      </c>
    </row>
    <row r="295" spans="1:9" x14ac:dyDescent="0.2">
      <c r="A295" t="s">
        <v>60</v>
      </c>
      <c r="B295">
        <v>2010</v>
      </c>
      <c r="C295">
        <v>1</v>
      </c>
      <c r="D295" s="39">
        <v>4</v>
      </c>
      <c r="E295" s="39">
        <v>10923</v>
      </c>
      <c r="F295" s="40">
        <v>39904</v>
      </c>
      <c r="G295" s="40">
        <v>40298</v>
      </c>
      <c r="H295" s="41" t="s">
        <v>79</v>
      </c>
      <c r="I295">
        <v>1614004720</v>
      </c>
    </row>
    <row r="296" spans="1:9" x14ac:dyDescent="0.2">
      <c r="A296" t="s">
        <v>60</v>
      </c>
      <c r="B296">
        <v>2011</v>
      </c>
      <c r="C296">
        <v>3</v>
      </c>
      <c r="D296" s="39">
        <v>2</v>
      </c>
      <c r="E296" s="39">
        <v>11610</v>
      </c>
      <c r="F296" s="40">
        <v>39904</v>
      </c>
      <c r="G296" s="40">
        <v>40298</v>
      </c>
      <c r="H296" s="41" t="s">
        <v>78</v>
      </c>
      <c r="I296">
        <v>1614004727</v>
      </c>
    </row>
    <row r="297" spans="1:9" x14ac:dyDescent="0.2">
      <c r="A297" t="s">
        <v>60</v>
      </c>
      <c r="B297">
        <v>2010</v>
      </c>
      <c r="C297">
        <v>1</v>
      </c>
      <c r="D297" s="39">
        <v>2</v>
      </c>
      <c r="E297" s="39">
        <v>1052</v>
      </c>
      <c r="F297" s="40">
        <v>39910</v>
      </c>
      <c r="G297" s="40">
        <v>40298</v>
      </c>
      <c r="H297" s="41" t="s">
        <v>78</v>
      </c>
      <c r="I297">
        <v>1612500177</v>
      </c>
    </row>
    <row r="298" spans="1:9" x14ac:dyDescent="0.2">
      <c r="A298" t="s">
        <v>60</v>
      </c>
      <c r="B298">
        <v>2010</v>
      </c>
      <c r="C298">
        <v>6</v>
      </c>
      <c r="D298" s="39">
        <v>1</v>
      </c>
      <c r="E298" s="39">
        <v>3027</v>
      </c>
      <c r="F298" s="40">
        <v>39910</v>
      </c>
      <c r="G298" s="40">
        <v>40298</v>
      </c>
      <c r="H298" s="41" t="s">
        <v>78</v>
      </c>
      <c r="I298">
        <v>1613500267</v>
      </c>
    </row>
    <row r="299" spans="1:9" x14ac:dyDescent="0.2">
      <c r="A299" t="s">
        <v>60</v>
      </c>
      <c r="B299">
        <v>2010</v>
      </c>
      <c r="C299">
        <v>1</v>
      </c>
      <c r="D299" s="39">
        <v>6</v>
      </c>
      <c r="E299" s="39">
        <v>7795</v>
      </c>
      <c r="F299" s="40">
        <v>39910</v>
      </c>
      <c r="G299" s="40">
        <v>40298</v>
      </c>
      <c r="H299" s="41" t="s">
        <v>79</v>
      </c>
      <c r="I299">
        <v>1614500298</v>
      </c>
    </row>
    <row r="300" spans="1:9" x14ac:dyDescent="0.2">
      <c r="A300" t="s">
        <v>60</v>
      </c>
      <c r="B300">
        <v>2010</v>
      </c>
      <c r="C300">
        <v>1</v>
      </c>
      <c r="D300" s="39">
        <v>116</v>
      </c>
      <c r="E300" s="39">
        <v>202378</v>
      </c>
      <c r="F300" s="40">
        <v>39910</v>
      </c>
      <c r="G300" s="40">
        <v>40298</v>
      </c>
      <c r="H300" s="41" t="s">
        <v>79</v>
      </c>
      <c r="I300">
        <v>1617500394</v>
      </c>
    </row>
    <row r="301" spans="1:9" x14ac:dyDescent="0.2">
      <c r="A301" t="s">
        <v>64</v>
      </c>
      <c r="B301">
        <v>2011</v>
      </c>
      <c r="C301">
        <v>1</v>
      </c>
      <c r="D301" s="39">
        <v>2</v>
      </c>
      <c r="E301" s="39">
        <v>4400</v>
      </c>
      <c r="F301" s="40">
        <v>40038</v>
      </c>
      <c r="G301" s="40">
        <v>40421</v>
      </c>
      <c r="H301" s="41" t="s">
        <v>78</v>
      </c>
      <c r="I301">
        <v>1660060075</v>
      </c>
    </row>
    <row r="302" spans="1:9" x14ac:dyDescent="0.2">
      <c r="A302" t="s">
        <v>64</v>
      </c>
      <c r="B302">
        <v>2010</v>
      </c>
      <c r="C302">
        <v>1</v>
      </c>
      <c r="D302" s="39">
        <v>8</v>
      </c>
      <c r="E302" s="39">
        <v>36459.85</v>
      </c>
      <c r="F302" s="40">
        <v>40038</v>
      </c>
      <c r="G302" s="40">
        <v>40421</v>
      </c>
      <c r="H302" s="41" t="s">
        <v>79</v>
      </c>
      <c r="I302">
        <v>1660060078</v>
      </c>
    </row>
    <row r="303" spans="1:9" x14ac:dyDescent="0.2">
      <c r="A303" t="s">
        <v>68</v>
      </c>
      <c r="B303">
        <v>2010</v>
      </c>
      <c r="C303">
        <v>1</v>
      </c>
      <c r="D303" s="39">
        <v>1</v>
      </c>
      <c r="E303" s="39">
        <v>1935</v>
      </c>
      <c r="F303" s="40">
        <v>39905</v>
      </c>
      <c r="G303" s="40">
        <v>40298</v>
      </c>
      <c r="H303" s="41" t="s">
        <v>78</v>
      </c>
      <c r="I303">
        <v>1652506601</v>
      </c>
    </row>
    <row r="304" spans="1:9" x14ac:dyDescent="0.2">
      <c r="A304" t="s">
        <v>68</v>
      </c>
      <c r="B304">
        <v>2011</v>
      </c>
      <c r="C304">
        <v>6</v>
      </c>
      <c r="D304" s="39">
        <v>1</v>
      </c>
      <c r="E304" s="39">
        <v>2390</v>
      </c>
      <c r="F304" s="40">
        <v>39905</v>
      </c>
      <c r="G304" s="40">
        <v>40298</v>
      </c>
      <c r="H304" s="41" t="s">
        <v>78</v>
      </c>
      <c r="I304">
        <v>1653500596</v>
      </c>
    </row>
    <row r="305" spans="1:9" x14ac:dyDescent="0.2">
      <c r="A305" t="s">
        <v>68</v>
      </c>
      <c r="B305">
        <v>2010</v>
      </c>
      <c r="C305">
        <v>10</v>
      </c>
      <c r="D305" s="39">
        <v>1</v>
      </c>
      <c r="E305" s="39">
        <v>1010</v>
      </c>
      <c r="F305" s="40">
        <v>39905</v>
      </c>
      <c r="G305" s="40">
        <v>40298</v>
      </c>
      <c r="H305" s="41" t="s">
        <v>78</v>
      </c>
      <c r="I305">
        <v>1654509411</v>
      </c>
    </row>
    <row r="306" spans="1:9" x14ac:dyDescent="0.2">
      <c r="A306" t="s">
        <v>68</v>
      </c>
      <c r="B306">
        <v>2010</v>
      </c>
      <c r="C306">
        <v>1</v>
      </c>
      <c r="D306" s="39">
        <v>1</v>
      </c>
      <c r="E306" s="39">
        <v>5140</v>
      </c>
      <c r="F306" s="40">
        <v>39905</v>
      </c>
      <c r="G306" s="40">
        <v>40298</v>
      </c>
      <c r="H306" s="41" t="s">
        <v>78</v>
      </c>
      <c r="I306">
        <v>1657507185</v>
      </c>
    </row>
    <row r="307" spans="1:9" x14ac:dyDescent="0.2">
      <c r="A307" t="s">
        <v>68</v>
      </c>
      <c r="B307">
        <v>2010</v>
      </c>
      <c r="C307">
        <v>1</v>
      </c>
      <c r="D307" s="39">
        <v>48</v>
      </c>
      <c r="E307" s="39">
        <v>57774</v>
      </c>
      <c r="F307" s="40">
        <v>39905</v>
      </c>
      <c r="G307" s="40">
        <v>40298</v>
      </c>
      <c r="H307" s="41" t="s">
        <v>79</v>
      </c>
      <c r="I307">
        <v>1654005806</v>
      </c>
    </row>
    <row r="308" spans="1:9" x14ac:dyDescent="0.2">
      <c r="A308" t="s">
        <v>68</v>
      </c>
      <c r="B308">
        <v>2010</v>
      </c>
      <c r="C308">
        <v>2</v>
      </c>
      <c r="D308" s="39">
        <v>1</v>
      </c>
      <c r="E308" s="39">
        <v>3990</v>
      </c>
      <c r="F308" s="40">
        <v>39905</v>
      </c>
      <c r="G308" s="40">
        <v>40298</v>
      </c>
      <c r="H308" s="41" t="s">
        <v>79</v>
      </c>
      <c r="I308">
        <v>1654000154</v>
      </c>
    </row>
    <row r="309" spans="1:9" x14ac:dyDescent="0.2">
      <c r="A309" t="s">
        <v>68</v>
      </c>
      <c r="B309">
        <v>2010</v>
      </c>
      <c r="C309">
        <v>1</v>
      </c>
      <c r="D309" s="39">
        <v>5</v>
      </c>
      <c r="E309" s="39">
        <v>10065</v>
      </c>
      <c r="F309" s="40">
        <v>39905</v>
      </c>
      <c r="G309" s="40">
        <v>40298</v>
      </c>
      <c r="H309" s="41" t="s">
        <v>79</v>
      </c>
      <c r="I309">
        <v>1652000434</v>
      </c>
    </row>
    <row r="310" spans="1:9" x14ac:dyDescent="0.2">
      <c r="A310" t="s">
        <v>60</v>
      </c>
      <c r="B310">
        <v>2011</v>
      </c>
      <c r="C310">
        <v>4</v>
      </c>
      <c r="D310" s="39">
        <v>5</v>
      </c>
      <c r="E310" s="39">
        <v>8312</v>
      </c>
      <c r="F310" s="40">
        <v>40605</v>
      </c>
      <c r="G310" s="40">
        <v>40999</v>
      </c>
      <c r="H310" s="41" t="s">
        <v>79</v>
      </c>
      <c r="I310">
        <v>1614500334</v>
      </c>
    </row>
    <row r="311" spans="1:9" x14ac:dyDescent="0.2">
      <c r="A311" t="s">
        <v>62</v>
      </c>
      <c r="B311">
        <v>2010</v>
      </c>
      <c r="C311">
        <v>1</v>
      </c>
      <c r="D311" s="39">
        <v>3</v>
      </c>
      <c r="E311" s="39">
        <v>918</v>
      </c>
      <c r="F311" s="40">
        <v>39904</v>
      </c>
      <c r="G311" s="40">
        <v>40298</v>
      </c>
      <c r="H311" s="41" t="s">
        <v>79</v>
      </c>
      <c r="I311">
        <v>1550074070</v>
      </c>
    </row>
    <row r="312" spans="1:9" x14ac:dyDescent="0.2">
      <c r="A312" t="s">
        <v>74</v>
      </c>
      <c r="B312">
        <v>2011</v>
      </c>
      <c r="C312">
        <v>1</v>
      </c>
      <c r="D312" s="39">
        <v>1</v>
      </c>
      <c r="E312" s="39">
        <v>8020</v>
      </c>
      <c r="F312" s="40">
        <v>40563</v>
      </c>
      <c r="G312" s="40">
        <v>40939</v>
      </c>
      <c r="H312" s="41" t="s">
        <v>79</v>
      </c>
      <c r="I312">
        <v>48943033723</v>
      </c>
    </row>
    <row r="313" spans="1:9" x14ac:dyDescent="0.2">
      <c r="A313" t="s">
        <v>60</v>
      </c>
      <c r="B313">
        <v>2011</v>
      </c>
      <c r="C313">
        <v>5</v>
      </c>
      <c r="D313" s="39">
        <v>3</v>
      </c>
      <c r="E313" s="39">
        <v>7651</v>
      </c>
      <c r="F313" s="40">
        <v>40681</v>
      </c>
      <c r="G313" s="40">
        <v>41060</v>
      </c>
      <c r="H313" s="41" t="s">
        <v>79</v>
      </c>
      <c r="I313">
        <v>1617230245</v>
      </c>
    </row>
    <row r="314" spans="1:9" x14ac:dyDescent="0.2">
      <c r="A314" t="s">
        <v>70</v>
      </c>
      <c r="B314">
        <v>2010</v>
      </c>
      <c r="C314">
        <v>4</v>
      </c>
      <c r="D314" s="39">
        <v>2</v>
      </c>
      <c r="E314" s="39">
        <v>989</v>
      </c>
      <c r="F314" s="40">
        <v>39974</v>
      </c>
      <c r="G314" s="40">
        <v>40359</v>
      </c>
      <c r="H314" s="41" t="s">
        <v>79</v>
      </c>
      <c r="I314">
        <v>48906335912</v>
      </c>
    </row>
    <row r="315" spans="1:9" x14ac:dyDescent="0.2">
      <c r="A315" t="s">
        <v>60</v>
      </c>
      <c r="B315">
        <v>2010</v>
      </c>
      <c r="C315">
        <v>11</v>
      </c>
      <c r="D315" s="39">
        <v>2</v>
      </c>
      <c r="E315" s="39">
        <v>91040</v>
      </c>
      <c r="F315" s="40">
        <v>39905</v>
      </c>
      <c r="G315" s="40">
        <v>40298</v>
      </c>
      <c r="H315" s="41" t="s">
        <v>78</v>
      </c>
      <c r="I315">
        <v>1614006254</v>
      </c>
    </row>
    <row r="316" spans="1:9" x14ac:dyDescent="0.2">
      <c r="A316" t="s">
        <v>60</v>
      </c>
      <c r="B316">
        <v>2010</v>
      </c>
      <c r="C316">
        <v>1</v>
      </c>
      <c r="D316" s="39">
        <v>1</v>
      </c>
      <c r="E316" s="39">
        <v>3748</v>
      </c>
      <c r="F316" s="40">
        <v>39905</v>
      </c>
      <c r="G316" s="40">
        <v>40298</v>
      </c>
      <c r="H316" s="41" t="s">
        <v>79</v>
      </c>
      <c r="I316">
        <v>1614121409</v>
      </c>
    </row>
    <row r="317" spans="1:9" x14ac:dyDescent="0.2">
      <c r="A317" t="s">
        <v>60</v>
      </c>
      <c r="B317">
        <v>2010</v>
      </c>
      <c r="C317">
        <v>11</v>
      </c>
      <c r="D317" s="39">
        <v>1</v>
      </c>
      <c r="E317" s="39">
        <v>2796</v>
      </c>
      <c r="F317" s="40">
        <v>39905</v>
      </c>
      <c r="G317" s="40">
        <v>40298</v>
      </c>
      <c r="H317" s="41" t="s">
        <v>78</v>
      </c>
      <c r="I317">
        <v>1614004975</v>
      </c>
    </row>
    <row r="318" spans="1:9" x14ac:dyDescent="0.2">
      <c r="A318" t="s">
        <v>68</v>
      </c>
      <c r="B318">
        <v>2010</v>
      </c>
      <c r="C318">
        <v>1</v>
      </c>
      <c r="D318" s="39">
        <v>11</v>
      </c>
      <c r="E318" s="39">
        <v>19720</v>
      </c>
      <c r="F318" s="40">
        <v>39923</v>
      </c>
      <c r="G318" s="40">
        <v>40298</v>
      </c>
      <c r="H318" s="41" t="s">
        <v>79</v>
      </c>
      <c r="I318">
        <v>1654006086</v>
      </c>
    </row>
    <row r="319" spans="1:9" x14ac:dyDescent="0.2">
      <c r="A319" t="s">
        <v>66</v>
      </c>
      <c r="B319">
        <v>2010</v>
      </c>
      <c r="C319">
        <v>3</v>
      </c>
      <c r="D319" s="39">
        <v>9</v>
      </c>
      <c r="E319" s="39">
        <v>1086</v>
      </c>
      <c r="F319" s="40">
        <v>39904</v>
      </c>
      <c r="G319" s="40">
        <v>40298</v>
      </c>
      <c r="H319" s="41" t="s">
        <v>79</v>
      </c>
      <c r="I319">
        <v>1761296725</v>
      </c>
    </row>
    <row r="320" spans="1:9" x14ac:dyDescent="0.2">
      <c r="A320" t="s">
        <v>66</v>
      </c>
      <c r="B320">
        <v>2010</v>
      </c>
      <c r="C320">
        <v>1</v>
      </c>
      <c r="D320" s="39">
        <v>13</v>
      </c>
      <c r="E320" s="39">
        <v>16341</v>
      </c>
      <c r="F320" s="40">
        <v>39904</v>
      </c>
      <c r="G320" s="40">
        <v>40298</v>
      </c>
      <c r="H320" s="41" t="s">
        <v>79</v>
      </c>
      <c r="I320">
        <v>1761294137</v>
      </c>
    </row>
    <row r="321" spans="1:9" x14ac:dyDescent="0.2">
      <c r="A321" t="s">
        <v>68</v>
      </c>
      <c r="B321">
        <v>2010</v>
      </c>
      <c r="C321">
        <v>1</v>
      </c>
      <c r="D321" s="39">
        <v>8</v>
      </c>
      <c r="E321" s="39">
        <v>14108</v>
      </c>
      <c r="F321" s="40">
        <v>39924</v>
      </c>
      <c r="G321" s="40">
        <v>40298</v>
      </c>
      <c r="H321" s="41" t="s">
        <v>79</v>
      </c>
      <c r="I321">
        <v>1652506589</v>
      </c>
    </row>
    <row r="322" spans="1:9" x14ac:dyDescent="0.2">
      <c r="A322" t="s">
        <v>69</v>
      </c>
      <c r="B322">
        <v>2010</v>
      </c>
      <c r="C322">
        <v>1</v>
      </c>
      <c r="D322" s="39">
        <v>23</v>
      </c>
      <c r="E322" s="39">
        <v>100848.3</v>
      </c>
      <c r="F322" s="40">
        <v>39904</v>
      </c>
      <c r="G322" s="40">
        <v>40298</v>
      </c>
      <c r="H322" s="41" t="s">
        <v>79</v>
      </c>
      <c r="I322">
        <v>48909407730</v>
      </c>
    </row>
    <row r="323" spans="1:9" x14ac:dyDescent="0.2">
      <c r="A323" t="s">
        <v>60</v>
      </c>
      <c r="B323">
        <v>2010</v>
      </c>
      <c r="C323">
        <v>1</v>
      </c>
      <c r="D323" s="39">
        <v>6</v>
      </c>
      <c r="E323" s="39">
        <v>14804</v>
      </c>
      <c r="F323" s="40">
        <v>39906</v>
      </c>
      <c r="G323" s="40">
        <v>40298</v>
      </c>
      <c r="H323" s="41" t="s">
        <v>78</v>
      </c>
      <c r="I323">
        <v>1614409731</v>
      </c>
    </row>
    <row r="324" spans="1:9" x14ac:dyDescent="0.2">
      <c r="A324" t="s">
        <v>60</v>
      </c>
      <c r="B324">
        <v>2010</v>
      </c>
      <c r="C324">
        <v>2</v>
      </c>
      <c r="D324" s="39">
        <v>2</v>
      </c>
      <c r="E324" s="39">
        <v>500</v>
      </c>
      <c r="F324" s="40">
        <v>39906</v>
      </c>
      <c r="G324" s="40">
        <v>40298</v>
      </c>
      <c r="H324" s="41" t="s">
        <v>79</v>
      </c>
      <c r="I324">
        <v>1614111484</v>
      </c>
    </row>
    <row r="325" spans="1:9" x14ac:dyDescent="0.2">
      <c r="A325" t="s">
        <v>61</v>
      </c>
      <c r="B325">
        <v>2010</v>
      </c>
      <c r="C325">
        <v>1</v>
      </c>
      <c r="D325" s="39">
        <v>3</v>
      </c>
      <c r="E325" s="39">
        <v>1268</v>
      </c>
      <c r="F325" s="40">
        <v>39911</v>
      </c>
      <c r="G325" s="40">
        <v>40298</v>
      </c>
      <c r="H325" s="41" t="s">
        <v>79</v>
      </c>
      <c r="I325">
        <v>1310454704</v>
      </c>
    </row>
    <row r="326" spans="1:9" x14ac:dyDescent="0.2">
      <c r="A326" t="s">
        <v>61</v>
      </c>
      <c r="B326">
        <v>2010</v>
      </c>
      <c r="C326">
        <v>1</v>
      </c>
      <c r="D326" s="39">
        <v>4</v>
      </c>
      <c r="E326" s="39">
        <v>1470</v>
      </c>
      <c r="F326" s="40">
        <v>39911</v>
      </c>
      <c r="G326" s="40">
        <v>40298</v>
      </c>
      <c r="H326" s="41" t="s">
        <v>79</v>
      </c>
      <c r="I326">
        <v>1310407447</v>
      </c>
    </row>
    <row r="327" spans="1:9" x14ac:dyDescent="0.2">
      <c r="A327" t="s">
        <v>60</v>
      </c>
      <c r="B327">
        <v>2011</v>
      </c>
      <c r="C327">
        <v>4</v>
      </c>
      <c r="D327" s="39">
        <v>2</v>
      </c>
      <c r="E327" s="39">
        <v>2845</v>
      </c>
      <c r="F327" s="40">
        <v>39962</v>
      </c>
      <c r="G327" s="40">
        <v>40329</v>
      </c>
      <c r="H327" s="41" t="s">
        <v>78</v>
      </c>
      <c r="I327">
        <v>1614006521</v>
      </c>
    </row>
    <row r="328" spans="1:9" x14ac:dyDescent="0.2">
      <c r="A328" t="s">
        <v>60</v>
      </c>
      <c r="B328">
        <v>2010</v>
      </c>
      <c r="C328">
        <v>4</v>
      </c>
      <c r="D328" s="39">
        <v>2</v>
      </c>
      <c r="E328" s="39">
        <v>3235</v>
      </c>
      <c r="F328" s="40">
        <v>39962</v>
      </c>
      <c r="G328" s="40">
        <v>40329</v>
      </c>
      <c r="H328" s="41" t="s">
        <v>79</v>
      </c>
      <c r="I328">
        <v>1614106185</v>
      </c>
    </row>
    <row r="329" spans="1:9" x14ac:dyDescent="0.2">
      <c r="A329" t="s">
        <v>62</v>
      </c>
      <c r="B329">
        <v>2010</v>
      </c>
      <c r="C329">
        <v>3</v>
      </c>
      <c r="D329" s="39">
        <v>2</v>
      </c>
      <c r="E329" s="39">
        <v>726.04</v>
      </c>
      <c r="F329" s="40">
        <v>39904</v>
      </c>
      <c r="G329" s="40">
        <v>40298</v>
      </c>
      <c r="H329" s="41" t="s">
        <v>79</v>
      </c>
      <c r="I329">
        <v>1550063471</v>
      </c>
    </row>
    <row r="330" spans="1:9" x14ac:dyDescent="0.2">
      <c r="A330" t="s">
        <v>62</v>
      </c>
      <c r="B330">
        <v>2010</v>
      </c>
      <c r="C330">
        <v>1</v>
      </c>
      <c r="D330" s="39">
        <v>2</v>
      </c>
      <c r="E330" s="39">
        <v>179.83</v>
      </c>
      <c r="F330" s="40">
        <v>39904</v>
      </c>
      <c r="G330" s="40">
        <v>40298</v>
      </c>
      <c r="H330" s="41" t="s">
        <v>79</v>
      </c>
      <c r="I330">
        <v>1550063472</v>
      </c>
    </row>
    <row r="331" spans="1:9" x14ac:dyDescent="0.2">
      <c r="A331" t="s">
        <v>60</v>
      </c>
      <c r="B331">
        <v>2010</v>
      </c>
      <c r="C331">
        <v>8</v>
      </c>
      <c r="D331" s="39">
        <v>4</v>
      </c>
      <c r="E331" s="39">
        <v>8560</v>
      </c>
      <c r="F331" s="40">
        <v>39911</v>
      </c>
      <c r="G331" s="40">
        <v>40298</v>
      </c>
      <c r="H331" s="41" t="s">
        <v>78</v>
      </c>
      <c r="I331">
        <v>1614005884</v>
      </c>
    </row>
    <row r="332" spans="1:9" x14ac:dyDescent="0.2">
      <c r="A332" t="s">
        <v>60</v>
      </c>
      <c r="B332">
        <v>2010</v>
      </c>
      <c r="C332">
        <v>1</v>
      </c>
      <c r="D332" s="39">
        <v>1</v>
      </c>
      <c r="E332" s="39">
        <v>420</v>
      </c>
      <c r="F332" s="40">
        <v>39911</v>
      </c>
      <c r="G332" s="40">
        <v>40298</v>
      </c>
      <c r="H332" s="41" t="s">
        <v>79</v>
      </c>
      <c r="I332">
        <v>1614105920</v>
      </c>
    </row>
    <row r="333" spans="1:9" x14ac:dyDescent="0.2">
      <c r="A333" t="s">
        <v>60</v>
      </c>
      <c r="B333">
        <v>2011</v>
      </c>
      <c r="C333">
        <v>2</v>
      </c>
      <c r="D333" s="39">
        <v>4.0714285714285712</v>
      </c>
      <c r="E333" s="39">
        <v>5713</v>
      </c>
      <c r="F333" s="40">
        <v>40476</v>
      </c>
      <c r="G333" s="40">
        <v>40847</v>
      </c>
      <c r="H333" s="41" t="s">
        <v>79</v>
      </c>
      <c r="I333">
        <v>1617230229</v>
      </c>
    </row>
    <row r="334" spans="1:9" x14ac:dyDescent="0.2">
      <c r="A334" t="s">
        <v>60</v>
      </c>
      <c r="B334">
        <v>2010</v>
      </c>
      <c r="C334">
        <v>1</v>
      </c>
      <c r="D334" s="39">
        <v>27</v>
      </c>
      <c r="E334" s="39">
        <v>37286</v>
      </c>
      <c r="F334" s="40">
        <v>39909</v>
      </c>
      <c r="G334" s="40">
        <v>40298</v>
      </c>
      <c r="H334" s="41" t="s">
        <v>79</v>
      </c>
      <c r="I334">
        <v>1614100420</v>
      </c>
    </row>
    <row r="335" spans="1:9" x14ac:dyDescent="0.2">
      <c r="A335" t="s">
        <v>60</v>
      </c>
      <c r="B335">
        <v>2010</v>
      </c>
      <c r="C335">
        <v>5</v>
      </c>
      <c r="D335" s="39">
        <v>2</v>
      </c>
      <c r="E335" s="39">
        <v>1990</v>
      </c>
      <c r="F335" s="40">
        <v>39905</v>
      </c>
      <c r="G335" s="40">
        <v>40298</v>
      </c>
      <c r="H335" s="41" t="s">
        <v>78</v>
      </c>
      <c r="I335">
        <v>1614005857</v>
      </c>
    </row>
    <row r="336" spans="1:9" x14ac:dyDescent="0.2">
      <c r="A336" t="s">
        <v>60</v>
      </c>
      <c r="B336">
        <v>2010</v>
      </c>
      <c r="C336">
        <v>1</v>
      </c>
      <c r="D336" s="39">
        <v>2</v>
      </c>
      <c r="E336" s="39">
        <v>8950</v>
      </c>
      <c r="F336" s="40">
        <v>39905</v>
      </c>
      <c r="G336" s="40">
        <v>40298</v>
      </c>
      <c r="H336" s="41" t="s">
        <v>79</v>
      </c>
      <c r="I336">
        <v>1614122105</v>
      </c>
    </row>
    <row r="337" spans="1:9" x14ac:dyDescent="0.2">
      <c r="A337" t="s">
        <v>72</v>
      </c>
      <c r="B337">
        <v>2010</v>
      </c>
      <c r="C337">
        <v>1</v>
      </c>
      <c r="D337" s="39">
        <v>10</v>
      </c>
      <c r="E337" s="39">
        <v>11288.03</v>
      </c>
      <c r="F337" s="40">
        <v>39904</v>
      </c>
      <c r="G337" s="40">
        <v>40298</v>
      </c>
      <c r="H337" s="41" t="s">
        <v>79</v>
      </c>
      <c r="I337">
        <v>48944045136</v>
      </c>
    </row>
    <row r="338" spans="1:9" x14ac:dyDescent="0.2">
      <c r="A338" t="s">
        <v>60</v>
      </c>
      <c r="B338">
        <v>2010</v>
      </c>
      <c r="C338">
        <v>6</v>
      </c>
      <c r="D338" s="39">
        <v>1</v>
      </c>
      <c r="E338" s="39">
        <v>2451</v>
      </c>
      <c r="F338" s="40">
        <v>39905</v>
      </c>
      <c r="G338" s="40">
        <v>40298</v>
      </c>
      <c r="H338" s="41" t="s">
        <v>78</v>
      </c>
      <c r="I338">
        <v>1614006099</v>
      </c>
    </row>
    <row r="339" spans="1:9" x14ac:dyDescent="0.2">
      <c r="A339" t="s">
        <v>60</v>
      </c>
      <c r="B339">
        <v>2010</v>
      </c>
      <c r="C339">
        <v>1</v>
      </c>
      <c r="D339" s="39">
        <v>4</v>
      </c>
      <c r="E339" s="39">
        <v>9240</v>
      </c>
      <c r="F339" s="40">
        <v>39905</v>
      </c>
      <c r="G339" s="40">
        <v>40298</v>
      </c>
      <c r="H339" s="41" t="s">
        <v>79</v>
      </c>
      <c r="I339">
        <v>1614122494</v>
      </c>
    </row>
    <row r="340" spans="1:9" x14ac:dyDescent="0.2">
      <c r="A340" t="s">
        <v>66</v>
      </c>
      <c r="B340">
        <v>2010</v>
      </c>
      <c r="C340">
        <v>1</v>
      </c>
      <c r="D340" s="39">
        <v>2</v>
      </c>
      <c r="E340" s="39">
        <v>2234</v>
      </c>
      <c r="F340" s="40">
        <v>39941</v>
      </c>
      <c r="G340" s="40">
        <v>40329</v>
      </c>
      <c r="H340" s="41" t="s">
        <v>79</v>
      </c>
      <c r="I340">
        <v>1761296202</v>
      </c>
    </row>
    <row r="341" spans="1:9" x14ac:dyDescent="0.2">
      <c r="A341" t="s">
        <v>60</v>
      </c>
      <c r="B341">
        <v>2010</v>
      </c>
      <c r="C341">
        <v>11</v>
      </c>
      <c r="D341" s="39">
        <v>2</v>
      </c>
      <c r="E341" s="39">
        <v>2235</v>
      </c>
      <c r="F341" s="40">
        <v>39941</v>
      </c>
      <c r="G341" s="40">
        <v>40329</v>
      </c>
      <c r="H341" s="41" t="s">
        <v>78</v>
      </c>
      <c r="I341">
        <v>1614006301</v>
      </c>
    </row>
    <row r="342" spans="1:9" x14ac:dyDescent="0.2">
      <c r="A342" t="s">
        <v>60</v>
      </c>
      <c r="B342">
        <v>2010</v>
      </c>
      <c r="C342">
        <v>2</v>
      </c>
      <c r="D342" s="39">
        <v>1</v>
      </c>
      <c r="E342" s="39">
        <v>1118</v>
      </c>
      <c r="F342" s="40">
        <v>39941</v>
      </c>
      <c r="G342" s="40">
        <v>40329</v>
      </c>
      <c r="H342" s="41" t="s">
        <v>79</v>
      </c>
      <c r="I342">
        <v>1644101624</v>
      </c>
    </row>
    <row r="343" spans="1:9" x14ac:dyDescent="0.2">
      <c r="A343" t="s">
        <v>64</v>
      </c>
      <c r="B343">
        <v>2010</v>
      </c>
      <c r="C343">
        <v>1</v>
      </c>
      <c r="D343" s="39">
        <v>86</v>
      </c>
      <c r="E343" s="39">
        <v>253485</v>
      </c>
      <c r="F343" s="40">
        <v>39904</v>
      </c>
      <c r="G343" s="40">
        <v>40298</v>
      </c>
      <c r="H343" s="41" t="s">
        <v>79</v>
      </c>
      <c r="I343">
        <v>1660010201</v>
      </c>
    </row>
    <row r="344" spans="1:9" x14ac:dyDescent="0.2">
      <c r="A344" t="s">
        <v>64</v>
      </c>
      <c r="B344">
        <v>2011</v>
      </c>
      <c r="C344">
        <v>2</v>
      </c>
      <c r="D344" s="39">
        <v>7</v>
      </c>
      <c r="E344" s="39">
        <v>16905</v>
      </c>
      <c r="F344" s="40">
        <v>39904</v>
      </c>
      <c r="G344" s="40">
        <v>40298</v>
      </c>
      <c r="H344" s="41" t="s">
        <v>78</v>
      </c>
      <c r="I344">
        <v>1660000019</v>
      </c>
    </row>
    <row r="345" spans="1:9" x14ac:dyDescent="0.2">
      <c r="A345" t="s">
        <v>68</v>
      </c>
      <c r="B345">
        <v>2010</v>
      </c>
      <c r="C345">
        <v>1</v>
      </c>
      <c r="D345" s="39">
        <v>416</v>
      </c>
      <c r="E345" s="39">
        <v>1025647</v>
      </c>
      <c r="F345" s="40">
        <v>39904</v>
      </c>
      <c r="G345" s="40">
        <v>40298</v>
      </c>
      <c r="H345" s="41" t="s">
        <v>79</v>
      </c>
      <c r="I345">
        <v>1657507150</v>
      </c>
    </row>
    <row r="346" spans="1:9" x14ac:dyDescent="0.2">
      <c r="A346" t="s">
        <v>68</v>
      </c>
      <c r="B346">
        <v>2010</v>
      </c>
      <c r="C346">
        <v>1</v>
      </c>
      <c r="D346" s="39">
        <v>3</v>
      </c>
      <c r="E346" s="39">
        <v>4175</v>
      </c>
      <c r="F346" s="40">
        <v>39904</v>
      </c>
      <c r="G346" s="40">
        <v>40298</v>
      </c>
      <c r="H346" s="41" t="s">
        <v>79</v>
      </c>
      <c r="I346">
        <v>1652000251</v>
      </c>
    </row>
    <row r="347" spans="1:9" x14ac:dyDescent="0.2">
      <c r="A347" t="s">
        <v>68</v>
      </c>
      <c r="B347">
        <v>2010</v>
      </c>
      <c r="C347">
        <v>1</v>
      </c>
      <c r="D347" s="39">
        <v>3</v>
      </c>
      <c r="E347" s="39">
        <v>3285</v>
      </c>
      <c r="F347" s="40">
        <v>39904</v>
      </c>
      <c r="G347" s="40">
        <v>40298</v>
      </c>
      <c r="H347" s="41" t="s">
        <v>79</v>
      </c>
      <c r="I347">
        <v>1654509086</v>
      </c>
    </row>
    <row r="348" spans="1:9" x14ac:dyDescent="0.2">
      <c r="A348" t="s">
        <v>68</v>
      </c>
      <c r="B348">
        <v>2010</v>
      </c>
      <c r="C348">
        <v>1</v>
      </c>
      <c r="D348" s="39">
        <v>9</v>
      </c>
      <c r="E348" s="39">
        <v>17777</v>
      </c>
      <c r="F348" s="40">
        <v>39904</v>
      </c>
      <c r="G348" s="40">
        <v>40298</v>
      </c>
      <c r="H348" s="41" t="s">
        <v>79</v>
      </c>
      <c r="I348">
        <v>1657507019</v>
      </c>
    </row>
    <row r="349" spans="1:9" x14ac:dyDescent="0.2">
      <c r="A349" t="s">
        <v>68</v>
      </c>
      <c r="B349">
        <v>2010</v>
      </c>
      <c r="C349">
        <v>1</v>
      </c>
      <c r="D349" s="39">
        <v>1</v>
      </c>
      <c r="E349" s="39">
        <v>6455</v>
      </c>
      <c r="F349" s="40">
        <v>39904</v>
      </c>
      <c r="G349" s="40">
        <v>40298</v>
      </c>
      <c r="H349" s="41" t="s">
        <v>79</v>
      </c>
      <c r="I349">
        <v>1652506514</v>
      </c>
    </row>
    <row r="350" spans="1:9" x14ac:dyDescent="0.2">
      <c r="A350" t="s">
        <v>68</v>
      </c>
      <c r="B350">
        <v>2010</v>
      </c>
      <c r="C350">
        <v>1</v>
      </c>
      <c r="D350" s="39">
        <v>10</v>
      </c>
      <c r="E350" s="39">
        <v>21445</v>
      </c>
      <c r="F350" s="40">
        <v>39904</v>
      </c>
      <c r="G350" s="40">
        <v>40298</v>
      </c>
      <c r="H350" s="41" t="s">
        <v>79</v>
      </c>
      <c r="I350">
        <v>1653500457</v>
      </c>
    </row>
    <row r="351" spans="1:9" x14ac:dyDescent="0.2">
      <c r="A351" t="s">
        <v>68</v>
      </c>
      <c r="B351">
        <v>2010</v>
      </c>
      <c r="C351">
        <v>1</v>
      </c>
      <c r="D351" s="39">
        <v>48</v>
      </c>
      <c r="E351" s="39">
        <v>152312</v>
      </c>
      <c r="F351" s="40">
        <v>39904</v>
      </c>
      <c r="G351" s="40">
        <v>40298</v>
      </c>
      <c r="H351" s="41" t="s">
        <v>79</v>
      </c>
      <c r="I351">
        <v>1652000250</v>
      </c>
    </row>
    <row r="352" spans="1:9" x14ac:dyDescent="0.2">
      <c r="A352" t="s">
        <v>68</v>
      </c>
      <c r="B352">
        <v>2010</v>
      </c>
      <c r="C352">
        <v>1</v>
      </c>
      <c r="D352" s="39">
        <v>250</v>
      </c>
      <c r="E352" s="39">
        <v>514290</v>
      </c>
      <c r="F352" s="40">
        <v>39904</v>
      </c>
      <c r="G352" s="40">
        <v>40298</v>
      </c>
      <c r="H352" s="41" t="s">
        <v>79</v>
      </c>
      <c r="I352">
        <v>1652000248</v>
      </c>
    </row>
    <row r="353" spans="1:9" x14ac:dyDescent="0.2">
      <c r="A353" t="s">
        <v>68</v>
      </c>
      <c r="B353">
        <v>2010</v>
      </c>
      <c r="C353">
        <v>9</v>
      </c>
      <c r="D353" s="39">
        <v>2</v>
      </c>
      <c r="E353" s="39">
        <v>2740</v>
      </c>
      <c r="F353" s="40">
        <v>39904</v>
      </c>
      <c r="G353" s="40">
        <v>40298</v>
      </c>
      <c r="H353" s="41" t="s">
        <v>78</v>
      </c>
      <c r="I353">
        <v>1654509271</v>
      </c>
    </row>
    <row r="354" spans="1:9" x14ac:dyDescent="0.2">
      <c r="A354" t="s">
        <v>68</v>
      </c>
      <c r="B354">
        <v>2010</v>
      </c>
      <c r="C354">
        <v>1</v>
      </c>
      <c r="D354" s="39">
        <v>1</v>
      </c>
      <c r="E354" s="39">
        <v>2085</v>
      </c>
      <c r="F354" s="40">
        <v>39904</v>
      </c>
      <c r="G354" s="40">
        <v>40298</v>
      </c>
      <c r="H354" s="41" t="s">
        <v>79</v>
      </c>
      <c r="I354">
        <v>1653500514</v>
      </c>
    </row>
    <row r="355" spans="1:9" x14ac:dyDescent="0.2">
      <c r="A355" t="s">
        <v>68</v>
      </c>
      <c r="B355">
        <v>2010</v>
      </c>
      <c r="C355">
        <v>5</v>
      </c>
      <c r="D355" s="39">
        <v>2</v>
      </c>
      <c r="E355" s="39">
        <v>960</v>
      </c>
      <c r="F355" s="40">
        <v>39904</v>
      </c>
      <c r="G355" s="40">
        <v>40298</v>
      </c>
      <c r="H355" s="41" t="s">
        <v>78</v>
      </c>
      <c r="I355">
        <v>1652506542</v>
      </c>
    </row>
    <row r="356" spans="1:9" x14ac:dyDescent="0.2">
      <c r="A356" t="s">
        <v>68</v>
      </c>
      <c r="B356">
        <v>2010</v>
      </c>
      <c r="C356">
        <v>1</v>
      </c>
      <c r="D356" s="39">
        <v>3</v>
      </c>
      <c r="E356" s="39">
        <v>2190</v>
      </c>
      <c r="F356" s="40">
        <v>39904</v>
      </c>
      <c r="G356" s="40">
        <v>40298</v>
      </c>
      <c r="H356" s="41" t="s">
        <v>79</v>
      </c>
      <c r="I356">
        <v>1657507047</v>
      </c>
    </row>
    <row r="357" spans="1:9" x14ac:dyDescent="0.2">
      <c r="A357" t="s">
        <v>60</v>
      </c>
      <c r="B357">
        <v>2010</v>
      </c>
      <c r="C357">
        <v>5</v>
      </c>
      <c r="D357" s="39">
        <v>1</v>
      </c>
      <c r="E357" s="39">
        <v>8170</v>
      </c>
      <c r="F357" s="40">
        <v>39927</v>
      </c>
      <c r="G357" s="40">
        <v>40298</v>
      </c>
      <c r="H357" s="41" t="s">
        <v>78</v>
      </c>
      <c r="I357">
        <v>1614006096</v>
      </c>
    </row>
    <row r="358" spans="1:9" x14ac:dyDescent="0.2">
      <c r="A358" t="s">
        <v>60</v>
      </c>
      <c r="B358">
        <v>2010</v>
      </c>
      <c r="C358">
        <v>1</v>
      </c>
      <c r="D358" s="39">
        <v>1</v>
      </c>
      <c r="E358" s="39">
        <v>3276</v>
      </c>
      <c r="F358" s="40">
        <v>39927</v>
      </c>
      <c r="G358" s="40">
        <v>40298</v>
      </c>
      <c r="H358" s="41" t="s">
        <v>79</v>
      </c>
      <c r="I358">
        <v>1614122452</v>
      </c>
    </row>
    <row r="359" spans="1:9" x14ac:dyDescent="0.2">
      <c r="A359" t="s">
        <v>61</v>
      </c>
      <c r="B359">
        <v>2010</v>
      </c>
      <c r="C359">
        <v>8</v>
      </c>
      <c r="D359" s="39">
        <v>2</v>
      </c>
      <c r="E359" s="39">
        <v>561.48</v>
      </c>
      <c r="F359" s="40">
        <v>39904</v>
      </c>
      <c r="G359" s="40">
        <v>40298</v>
      </c>
      <c r="H359" s="41" t="s">
        <v>78</v>
      </c>
      <c r="I359">
        <v>1327071313</v>
      </c>
    </row>
    <row r="360" spans="1:9" x14ac:dyDescent="0.2">
      <c r="A360" t="s">
        <v>61</v>
      </c>
      <c r="B360">
        <v>2010</v>
      </c>
      <c r="C360">
        <v>9</v>
      </c>
      <c r="D360" s="39">
        <v>22</v>
      </c>
      <c r="E360" s="39">
        <v>24704.65</v>
      </c>
      <c r="F360" s="40">
        <v>39904</v>
      </c>
      <c r="G360" s="40">
        <v>40298</v>
      </c>
      <c r="H360" s="41" t="s">
        <v>78</v>
      </c>
      <c r="I360">
        <v>1327071261</v>
      </c>
    </row>
    <row r="361" spans="1:9" x14ac:dyDescent="0.2">
      <c r="A361" t="s">
        <v>61</v>
      </c>
      <c r="B361">
        <v>2010</v>
      </c>
      <c r="C361">
        <v>1</v>
      </c>
      <c r="D361" s="39">
        <v>63</v>
      </c>
      <c r="E361" s="39">
        <v>15795.06</v>
      </c>
      <c r="F361" s="40">
        <v>39904</v>
      </c>
      <c r="G361" s="40">
        <v>40298</v>
      </c>
      <c r="H361" s="41" t="s">
        <v>79</v>
      </c>
      <c r="I361">
        <v>1304070811</v>
      </c>
    </row>
    <row r="362" spans="1:9" x14ac:dyDescent="0.2">
      <c r="A362" t="s">
        <v>61</v>
      </c>
      <c r="B362">
        <v>2010</v>
      </c>
      <c r="C362">
        <v>9</v>
      </c>
      <c r="D362" s="39">
        <v>45</v>
      </c>
      <c r="E362" s="39">
        <v>11235.869999999999</v>
      </c>
      <c r="F362" s="40">
        <v>39904</v>
      </c>
      <c r="G362" s="40">
        <v>40298</v>
      </c>
      <c r="H362" s="41" t="s">
        <v>78</v>
      </c>
      <c r="I362">
        <v>1327070811</v>
      </c>
    </row>
    <row r="363" spans="1:9" x14ac:dyDescent="0.2">
      <c r="A363" t="s">
        <v>61</v>
      </c>
      <c r="B363">
        <v>2010</v>
      </c>
      <c r="C363">
        <v>1</v>
      </c>
      <c r="D363" s="39">
        <v>11</v>
      </c>
      <c r="E363" s="39">
        <v>1648.75</v>
      </c>
      <c r="F363" s="40">
        <v>39904</v>
      </c>
      <c r="G363" s="40">
        <v>40298</v>
      </c>
      <c r="H363" s="41" t="s">
        <v>79</v>
      </c>
      <c r="I363">
        <v>1304071313</v>
      </c>
    </row>
    <row r="364" spans="1:9" x14ac:dyDescent="0.2">
      <c r="A364" t="s">
        <v>61</v>
      </c>
      <c r="B364">
        <v>2010</v>
      </c>
      <c r="C364">
        <v>1</v>
      </c>
      <c r="D364" s="39">
        <v>263</v>
      </c>
      <c r="E364" s="39">
        <v>26939.599999999999</v>
      </c>
      <c r="F364" s="40">
        <v>39904</v>
      </c>
      <c r="G364" s="40">
        <v>40298</v>
      </c>
      <c r="H364" s="41" t="s">
        <v>79</v>
      </c>
      <c r="I364">
        <v>1304008095</v>
      </c>
    </row>
    <row r="365" spans="1:9" x14ac:dyDescent="0.2">
      <c r="A365" t="s">
        <v>61</v>
      </c>
      <c r="B365">
        <v>2010</v>
      </c>
      <c r="C365">
        <v>9</v>
      </c>
      <c r="D365" s="39">
        <v>315</v>
      </c>
      <c r="E365" s="39">
        <v>186747.38</v>
      </c>
      <c r="F365" s="40">
        <v>39904</v>
      </c>
      <c r="G365" s="40">
        <v>40298</v>
      </c>
      <c r="H365" s="41" t="s">
        <v>78</v>
      </c>
      <c r="I365">
        <v>1327008095</v>
      </c>
    </row>
    <row r="366" spans="1:9" x14ac:dyDescent="0.2">
      <c r="A366" t="s">
        <v>61</v>
      </c>
      <c r="B366">
        <v>2010</v>
      </c>
      <c r="C366">
        <v>1</v>
      </c>
      <c r="D366" s="39">
        <v>37</v>
      </c>
      <c r="E366" s="39">
        <v>46710.53</v>
      </c>
      <c r="F366" s="40">
        <v>39904</v>
      </c>
      <c r="G366" s="40">
        <v>40298</v>
      </c>
      <c r="H366" s="41" t="s">
        <v>79</v>
      </c>
      <c r="I366">
        <v>1304018864</v>
      </c>
    </row>
    <row r="367" spans="1:9" x14ac:dyDescent="0.2">
      <c r="A367" t="s">
        <v>61</v>
      </c>
      <c r="B367">
        <v>2010</v>
      </c>
      <c r="C367">
        <v>10</v>
      </c>
      <c r="D367" s="39">
        <v>5</v>
      </c>
      <c r="E367" s="39">
        <v>3436.76</v>
      </c>
      <c r="F367" s="40">
        <v>39904</v>
      </c>
      <c r="G367" s="40">
        <v>40298</v>
      </c>
      <c r="H367" s="41" t="s">
        <v>78</v>
      </c>
      <c r="I367">
        <v>1327018864</v>
      </c>
    </row>
    <row r="368" spans="1:9" x14ac:dyDescent="0.2">
      <c r="A368" t="s">
        <v>61</v>
      </c>
      <c r="B368">
        <v>2010</v>
      </c>
      <c r="C368">
        <v>1</v>
      </c>
      <c r="D368" s="39">
        <v>23</v>
      </c>
      <c r="E368" s="39">
        <v>14273.36</v>
      </c>
      <c r="F368" s="40">
        <v>39904</v>
      </c>
      <c r="G368" s="40">
        <v>40298</v>
      </c>
      <c r="H368" s="41" t="s">
        <v>79</v>
      </c>
      <c r="I368">
        <v>1304052817</v>
      </c>
    </row>
    <row r="369" spans="1:9" x14ac:dyDescent="0.2">
      <c r="A369" t="s">
        <v>61</v>
      </c>
      <c r="B369">
        <v>2010</v>
      </c>
      <c r="C369">
        <v>9</v>
      </c>
      <c r="D369" s="39">
        <v>34</v>
      </c>
      <c r="E369" s="39">
        <v>18324.7</v>
      </c>
      <c r="F369" s="40">
        <v>39904</v>
      </c>
      <c r="G369" s="40">
        <v>40298</v>
      </c>
      <c r="H369" s="41" t="s">
        <v>78</v>
      </c>
      <c r="I369">
        <v>1327052817</v>
      </c>
    </row>
    <row r="370" spans="1:9" x14ac:dyDescent="0.2">
      <c r="A370" t="s">
        <v>61</v>
      </c>
      <c r="B370">
        <v>2010</v>
      </c>
      <c r="C370">
        <v>9</v>
      </c>
      <c r="D370" s="39">
        <v>5</v>
      </c>
      <c r="E370" s="39">
        <v>4793.8</v>
      </c>
      <c r="F370" s="40">
        <v>39904</v>
      </c>
      <c r="G370" s="40">
        <v>40298</v>
      </c>
      <c r="H370" s="41" t="s">
        <v>78</v>
      </c>
      <c r="I370">
        <v>1327072552</v>
      </c>
    </row>
    <row r="371" spans="1:9" x14ac:dyDescent="0.2">
      <c r="A371" t="s">
        <v>61</v>
      </c>
      <c r="B371">
        <v>2010</v>
      </c>
      <c r="C371">
        <v>1</v>
      </c>
      <c r="D371" s="39">
        <v>19</v>
      </c>
      <c r="E371" s="39">
        <v>19397.439999999999</v>
      </c>
      <c r="F371" s="40">
        <v>39904</v>
      </c>
      <c r="G371" s="40">
        <v>40298</v>
      </c>
      <c r="H371" s="41" t="s">
        <v>79</v>
      </c>
      <c r="I371">
        <v>1304071094</v>
      </c>
    </row>
    <row r="372" spans="1:9" x14ac:dyDescent="0.2">
      <c r="A372" t="s">
        <v>61</v>
      </c>
      <c r="B372">
        <v>2010</v>
      </c>
      <c r="C372">
        <v>1</v>
      </c>
      <c r="D372" s="39">
        <v>12</v>
      </c>
      <c r="E372" s="39">
        <v>28849</v>
      </c>
      <c r="F372" s="40">
        <v>39904</v>
      </c>
      <c r="G372" s="40">
        <v>40298</v>
      </c>
      <c r="H372" s="41" t="s">
        <v>79</v>
      </c>
      <c r="I372">
        <v>1304070812</v>
      </c>
    </row>
    <row r="373" spans="1:9" x14ac:dyDescent="0.2">
      <c r="A373" t="s">
        <v>61</v>
      </c>
      <c r="B373">
        <v>2010</v>
      </c>
      <c r="C373">
        <v>9</v>
      </c>
      <c r="D373" s="39">
        <v>7</v>
      </c>
      <c r="E373" s="39">
        <v>21371</v>
      </c>
      <c r="F373" s="40">
        <v>39904</v>
      </c>
      <c r="G373" s="40">
        <v>40298</v>
      </c>
      <c r="H373" s="41" t="s">
        <v>78</v>
      </c>
      <c r="I373">
        <v>1327070812</v>
      </c>
    </row>
    <row r="374" spans="1:9" x14ac:dyDescent="0.2">
      <c r="A374" t="s">
        <v>61</v>
      </c>
      <c r="B374">
        <v>2010</v>
      </c>
      <c r="C374">
        <v>1</v>
      </c>
      <c r="D374" s="39">
        <v>8</v>
      </c>
      <c r="E374" s="39">
        <v>8369</v>
      </c>
      <c r="F374" s="40">
        <v>39904</v>
      </c>
      <c r="G374" s="40">
        <v>40298</v>
      </c>
      <c r="H374" s="41" t="s">
        <v>79</v>
      </c>
      <c r="I374">
        <v>1304070813</v>
      </c>
    </row>
    <row r="375" spans="1:9" x14ac:dyDescent="0.2">
      <c r="A375" t="s">
        <v>61</v>
      </c>
      <c r="B375">
        <v>2010</v>
      </c>
      <c r="C375">
        <v>9</v>
      </c>
      <c r="D375" s="39">
        <v>11</v>
      </c>
      <c r="E375" s="39">
        <v>5943</v>
      </c>
      <c r="F375" s="40">
        <v>39904</v>
      </c>
      <c r="G375" s="40">
        <v>40298</v>
      </c>
      <c r="H375" s="41" t="s">
        <v>78</v>
      </c>
      <c r="I375">
        <v>1327070813</v>
      </c>
    </row>
    <row r="376" spans="1:9" x14ac:dyDescent="0.2">
      <c r="A376" t="s">
        <v>61</v>
      </c>
      <c r="B376">
        <v>2010</v>
      </c>
      <c r="C376">
        <v>3</v>
      </c>
      <c r="D376" s="39">
        <v>2</v>
      </c>
      <c r="E376" s="39">
        <v>3200</v>
      </c>
      <c r="F376" s="40">
        <v>39904</v>
      </c>
      <c r="G376" s="40">
        <v>40298</v>
      </c>
      <c r="H376" s="41" t="s">
        <v>78</v>
      </c>
      <c r="I376">
        <v>1332772328</v>
      </c>
    </row>
    <row r="377" spans="1:9" x14ac:dyDescent="0.2">
      <c r="A377" t="s">
        <v>61</v>
      </c>
      <c r="B377">
        <v>2010</v>
      </c>
      <c r="C377">
        <v>1</v>
      </c>
      <c r="D377" s="39">
        <v>23</v>
      </c>
      <c r="E377" s="39">
        <v>50788.7</v>
      </c>
      <c r="F377" s="40">
        <v>39904</v>
      </c>
      <c r="G377" s="40">
        <v>40298</v>
      </c>
      <c r="H377" s="41" t="s">
        <v>79</v>
      </c>
      <c r="I377">
        <v>1304071261</v>
      </c>
    </row>
    <row r="378" spans="1:9" x14ac:dyDescent="0.2">
      <c r="A378" t="s">
        <v>61</v>
      </c>
      <c r="B378">
        <v>2011</v>
      </c>
      <c r="C378">
        <v>5</v>
      </c>
      <c r="D378" s="39">
        <v>1</v>
      </c>
      <c r="E378" s="39">
        <v>73.5</v>
      </c>
      <c r="F378" s="40">
        <v>39904</v>
      </c>
      <c r="G378" s="40">
        <v>40298</v>
      </c>
      <c r="H378" s="41" t="s">
        <v>78</v>
      </c>
      <c r="I378">
        <v>1332772329</v>
      </c>
    </row>
    <row r="379" spans="1:9" x14ac:dyDescent="0.2">
      <c r="A379" t="s">
        <v>61</v>
      </c>
      <c r="B379">
        <v>2010</v>
      </c>
      <c r="C379">
        <v>6</v>
      </c>
      <c r="D379" s="39">
        <v>2</v>
      </c>
      <c r="E379" s="39">
        <v>387</v>
      </c>
      <c r="F379" s="40">
        <v>39904</v>
      </c>
      <c r="G379" s="40">
        <v>40298</v>
      </c>
      <c r="H379" s="41" t="s">
        <v>78</v>
      </c>
      <c r="I379">
        <v>1332772332</v>
      </c>
    </row>
    <row r="380" spans="1:9" x14ac:dyDescent="0.2">
      <c r="A380" t="s">
        <v>65</v>
      </c>
      <c r="B380">
        <v>2010</v>
      </c>
      <c r="C380">
        <v>1</v>
      </c>
      <c r="D380" s="39">
        <v>1</v>
      </c>
      <c r="E380" s="39">
        <v>186</v>
      </c>
      <c r="F380" s="40">
        <v>39905</v>
      </c>
      <c r="G380" s="40">
        <v>40298</v>
      </c>
      <c r="H380" s="41" t="s">
        <v>79</v>
      </c>
      <c r="I380">
        <v>1721572249</v>
      </c>
    </row>
    <row r="381" spans="1:9" x14ac:dyDescent="0.2">
      <c r="A381" t="s">
        <v>62</v>
      </c>
      <c r="B381">
        <v>2010</v>
      </c>
      <c r="C381">
        <v>1</v>
      </c>
      <c r="D381" s="39">
        <v>12.714285714285714</v>
      </c>
      <c r="E381" s="39">
        <v>4438.79</v>
      </c>
      <c r="F381" s="40">
        <v>39904</v>
      </c>
      <c r="G381" s="40">
        <v>40298</v>
      </c>
      <c r="H381" s="41" t="s">
        <v>79</v>
      </c>
      <c r="I381">
        <v>1550060760</v>
      </c>
    </row>
    <row r="382" spans="1:9" x14ac:dyDescent="0.2">
      <c r="A382" t="s">
        <v>62</v>
      </c>
      <c r="B382">
        <v>2010</v>
      </c>
      <c r="C382">
        <v>1</v>
      </c>
      <c r="D382" s="39">
        <v>17.571428571428573</v>
      </c>
      <c r="E382" s="39">
        <v>4095.54</v>
      </c>
      <c r="F382" s="40">
        <v>39904</v>
      </c>
      <c r="G382" s="40">
        <v>40298</v>
      </c>
      <c r="H382" s="41" t="s">
        <v>79</v>
      </c>
      <c r="I382">
        <v>1550041319</v>
      </c>
    </row>
    <row r="383" spans="1:9" x14ac:dyDescent="0.2">
      <c r="A383" t="s">
        <v>62</v>
      </c>
      <c r="B383">
        <v>2010</v>
      </c>
      <c r="C383">
        <v>12</v>
      </c>
      <c r="D383" s="39">
        <v>5</v>
      </c>
      <c r="E383" s="39">
        <v>1021</v>
      </c>
      <c r="F383" s="40">
        <v>39904</v>
      </c>
      <c r="G383" s="40">
        <v>40298</v>
      </c>
      <c r="H383" s="41" t="s">
        <v>78</v>
      </c>
      <c r="I383">
        <v>1550082456</v>
      </c>
    </row>
    <row r="384" spans="1:9" x14ac:dyDescent="0.2">
      <c r="A384" t="s">
        <v>67</v>
      </c>
      <c r="B384">
        <v>2010</v>
      </c>
      <c r="C384">
        <v>1</v>
      </c>
      <c r="D384" s="39">
        <v>2</v>
      </c>
      <c r="E384" s="39">
        <v>63954</v>
      </c>
      <c r="F384" s="40">
        <v>39975</v>
      </c>
      <c r="G384" s="40">
        <v>40359</v>
      </c>
      <c r="H384" s="41" t="s">
        <v>79</v>
      </c>
      <c r="I384">
        <v>48867010693</v>
      </c>
    </row>
    <row r="385" spans="1:9" x14ac:dyDescent="0.2">
      <c r="A385" t="s">
        <v>72</v>
      </c>
      <c r="B385">
        <v>2010</v>
      </c>
      <c r="C385">
        <v>2</v>
      </c>
      <c r="D385" s="39">
        <v>5</v>
      </c>
      <c r="E385" s="39">
        <v>1560.98</v>
      </c>
      <c r="F385" s="40">
        <v>39937</v>
      </c>
      <c r="G385" s="40">
        <v>40329</v>
      </c>
      <c r="H385" s="41" t="s">
        <v>79</v>
      </c>
      <c r="I385">
        <v>48944044334</v>
      </c>
    </row>
    <row r="386" spans="1:9" x14ac:dyDescent="0.2">
      <c r="A386" t="s">
        <v>74</v>
      </c>
      <c r="B386">
        <v>2010</v>
      </c>
      <c r="C386">
        <v>2</v>
      </c>
      <c r="D386" s="39">
        <v>2</v>
      </c>
      <c r="E386" s="39">
        <v>22046.400000000001</v>
      </c>
      <c r="F386" s="40">
        <v>39912</v>
      </c>
      <c r="G386" s="40">
        <v>40298</v>
      </c>
      <c r="H386" s="41" t="s">
        <v>79</v>
      </c>
      <c r="I386">
        <v>48943036242</v>
      </c>
    </row>
    <row r="387" spans="1:9" x14ac:dyDescent="0.2">
      <c r="A387" t="s">
        <v>65</v>
      </c>
      <c r="B387">
        <v>2010</v>
      </c>
      <c r="C387">
        <v>1</v>
      </c>
      <c r="D387" s="39">
        <v>7</v>
      </c>
      <c r="E387" s="39">
        <v>3143</v>
      </c>
      <c r="F387" s="40">
        <v>39904</v>
      </c>
      <c r="G387" s="40">
        <v>40298</v>
      </c>
      <c r="H387" s="41" t="s">
        <v>79</v>
      </c>
      <c r="I387">
        <v>1721597661</v>
      </c>
    </row>
    <row r="388" spans="1:9" x14ac:dyDescent="0.2">
      <c r="A388" t="s">
        <v>65</v>
      </c>
      <c r="B388">
        <v>2010</v>
      </c>
      <c r="C388">
        <v>10</v>
      </c>
      <c r="D388" s="39">
        <v>1</v>
      </c>
      <c r="E388" s="39">
        <v>515</v>
      </c>
      <c r="F388" s="40">
        <v>39904</v>
      </c>
      <c r="G388" s="40">
        <v>40298</v>
      </c>
      <c r="H388" s="41" t="s">
        <v>78</v>
      </c>
      <c r="I388">
        <v>1721597185</v>
      </c>
    </row>
    <row r="389" spans="1:9" x14ac:dyDescent="0.2">
      <c r="A389" t="s">
        <v>61</v>
      </c>
      <c r="B389">
        <v>2010</v>
      </c>
      <c r="C389">
        <v>1</v>
      </c>
      <c r="D389" s="39">
        <v>3</v>
      </c>
      <c r="E389" s="39">
        <v>560</v>
      </c>
      <c r="F389" s="40">
        <v>39905</v>
      </c>
      <c r="G389" s="40">
        <v>40298</v>
      </c>
      <c r="H389" s="41" t="s">
        <v>79</v>
      </c>
      <c r="I389">
        <v>1332771220</v>
      </c>
    </row>
    <row r="390" spans="1:9" x14ac:dyDescent="0.2">
      <c r="A390" t="s">
        <v>60</v>
      </c>
      <c r="B390">
        <v>2010</v>
      </c>
      <c r="C390">
        <v>1</v>
      </c>
      <c r="D390" s="39">
        <v>15</v>
      </c>
      <c r="E390" s="39">
        <v>36855</v>
      </c>
      <c r="F390" s="40">
        <v>39905</v>
      </c>
      <c r="G390" s="40">
        <v>40298</v>
      </c>
      <c r="H390" s="41" t="s">
        <v>79</v>
      </c>
      <c r="I390">
        <v>1612001883</v>
      </c>
    </row>
    <row r="391" spans="1:9" x14ac:dyDescent="0.2">
      <c r="A391" t="s">
        <v>60</v>
      </c>
      <c r="B391">
        <v>2010</v>
      </c>
      <c r="C391">
        <v>1</v>
      </c>
      <c r="D391" s="39">
        <v>20</v>
      </c>
      <c r="E391" s="39">
        <v>46307</v>
      </c>
      <c r="F391" s="40">
        <v>39904</v>
      </c>
      <c r="G391" s="40">
        <v>40298</v>
      </c>
      <c r="H391" s="41" t="s">
        <v>79</v>
      </c>
      <c r="I391">
        <v>1617113391</v>
      </c>
    </row>
    <row r="392" spans="1:9" x14ac:dyDescent="0.2">
      <c r="A392" t="s">
        <v>60</v>
      </c>
      <c r="B392">
        <v>2010</v>
      </c>
      <c r="C392">
        <v>4</v>
      </c>
      <c r="D392" s="39">
        <v>14</v>
      </c>
      <c r="E392" s="39">
        <v>29450</v>
      </c>
      <c r="F392" s="40">
        <v>39904</v>
      </c>
      <c r="G392" s="40">
        <v>40298</v>
      </c>
      <c r="H392" s="41" t="s">
        <v>78</v>
      </c>
      <c r="I392">
        <v>1614005677</v>
      </c>
    </row>
    <row r="393" spans="1:9" x14ac:dyDescent="0.2">
      <c r="A393" t="s">
        <v>60</v>
      </c>
      <c r="B393">
        <v>2010</v>
      </c>
      <c r="C393">
        <v>1</v>
      </c>
      <c r="D393" s="39">
        <v>8</v>
      </c>
      <c r="E393" s="39">
        <v>12478</v>
      </c>
      <c r="F393" s="40">
        <v>39904</v>
      </c>
      <c r="G393" s="40">
        <v>40298</v>
      </c>
      <c r="H393" s="41" t="s">
        <v>79</v>
      </c>
      <c r="I393">
        <v>1614116922</v>
      </c>
    </row>
    <row r="394" spans="1:9" x14ac:dyDescent="0.2">
      <c r="A394" t="s">
        <v>60</v>
      </c>
      <c r="B394">
        <v>2010</v>
      </c>
      <c r="C394">
        <v>1</v>
      </c>
      <c r="D394" s="39">
        <v>2</v>
      </c>
      <c r="E394" s="39">
        <v>7478</v>
      </c>
      <c r="F394" s="40">
        <v>39904</v>
      </c>
      <c r="G394" s="40">
        <v>40298</v>
      </c>
      <c r="H394" s="41" t="s">
        <v>79</v>
      </c>
      <c r="I394">
        <v>1614003727</v>
      </c>
    </row>
    <row r="395" spans="1:9" x14ac:dyDescent="0.2">
      <c r="A395" t="s">
        <v>64</v>
      </c>
      <c r="B395">
        <v>2010</v>
      </c>
      <c r="C395">
        <v>1</v>
      </c>
      <c r="D395" s="39">
        <v>2</v>
      </c>
      <c r="E395" s="39">
        <v>940</v>
      </c>
      <c r="F395" s="40">
        <v>39904</v>
      </c>
      <c r="G395" s="40">
        <v>40298</v>
      </c>
      <c r="H395" s="41" t="s">
        <v>79</v>
      </c>
      <c r="I395">
        <v>1660003311</v>
      </c>
    </row>
    <row r="396" spans="1:9" x14ac:dyDescent="0.2">
      <c r="A396" t="s">
        <v>68</v>
      </c>
      <c r="B396">
        <v>2010</v>
      </c>
      <c r="C396">
        <v>1</v>
      </c>
      <c r="D396" s="39">
        <v>10</v>
      </c>
      <c r="E396" s="39">
        <v>142250</v>
      </c>
      <c r="F396" s="40">
        <v>39923</v>
      </c>
      <c r="G396" s="40">
        <v>40298</v>
      </c>
      <c r="H396" s="41" t="s">
        <v>79</v>
      </c>
      <c r="I396">
        <v>1654509396</v>
      </c>
    </row>
    <row r="397" spans="1:9" x14ac:dyDescent="0.2">
      <c r="A397" t="s">
        <v>60</v>
      </c>
      <c r="B397">
        <v>2011</v>
      </c>
      <c r="C397">
        <v>2</v>
      </c>
      <c r="D397" s="39">
        <v>1.3571428571428572</v>
      </c>
      <c r="E397" s="39">
        <v>757</v>
      </c>
      <c r="F397" s="40">
        <v>39931</v>
      </c>
      <c r="G397" s="40">
        <v>40298</v>
      </c>
      <c r="H397" s="41" t="s">
        <v>78</v>
      </c>
      <c r="I397">
        <v>1614006519</v>
      </c>
    </row>
    <row r="398" spans="1:9" x14ac:dyDescent="0.2">
      <c r="A398" t="s">
        <v>60</v>
      </c>
      <c r="B398">
        <v>2010</v>
      </c>
      <c r="C398">
        <v>1</v>
      </c>
      <c r="D398" s="39">
        <v>3</v>
      </c>
      <c r="E398" s="39">
        <v>9990</v>
      </c>
      <c r="F398" s="40">
        <v>39931</v>
      </c>
      <c r="G398" s="40">
        <v>40298</v>
      </c>
      <c r="H398" s="41" t="s">
        <v>79</v>
      </c>
      <c r="I398">
        <v>1614105926</v>
      </c>
    </row>
    <row r="399" spans="1:9" x14ac:dyDescent="0.2">
      <c r="A399" t="s">
        <v>60</v>
      </c>
      <c r="B399">
        <v>2010</v>
      </c>
      <c r="C399">
        <v>11</v>
      </c>
      <c r="D399" s="39">
        <v>1</v>
      </c>
      <c r="E399" s="39">
        <v>3734</v>
      </c>
      <c r="F399" s="40">
        <v>40140</v>
      </c>
      <c r="G399" s="40">
        <v>40512</v>
      </c>
      <c r="H399" s="41" t="s">
        <v>78</v>
      </c>
      <c r="I399">
        <v>1614006274</v>
      </c>
    </row>
    <row r="400" spans="1:9" x14ac:dyDescent="0.2">
      <c r="A400" t="s">
        <v>60</v>
      </c>
      <c r="B400">
        <v>2010</v>
      </c>
      <c r="C400">
        <v>8</v>
      </c>
      <c r="D400" s="39">
        <v>1</v>
      </c>
      <c r="E400" s="39">
        <v>4520</v>
      </c>
      <c r="F400" s="40">
        <v>40140</v>
      </c>
      <c r="G400" s="40">
        <v>40512</v>
      </c>
      <c r="H400" s="41" t="s">
        <v>79</v>
      </c>
      <c r="I400">
        <v>1614117685</v>
      </c>
    </row>
  </sheetData>
  <autoFilter ref="A1:I400" xr:uid="{00000000-0009-0000-0000-000012000000}"/>
  <pageMargins left="0.7" right="0.7" top="0.75" bottom="0.75" header="0.3" footer="0.3"/>
  <pageSetup orientation="portrait" r:id="rId1"/>
  <headerFooter>
    <oddFooter>&amp;L9/7/2017&amp;CAXP Internal&amp;R20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Intro</vt:lpstr>
      <vt:lpstr>Ques 1</vt:lpstr>
      <vt:lpstr>Ques 2</vt:lpstr>
      <vt:lpstr>Ques 3</vt:lpstr>
      <vt:lpstr>Ques 4</vt:lpstr>
      <vt:lpstr>Ques 5</vt:lpstr>
      <vt:lpstr>Ques 6</vt:lpstr>
      <vt:lpstr>Ques 7</vt:lpstr>
      <vt:lpstr>Ques 8</vt:lpstr>
      <vt:lpstr>Sheet3</vt:lpstr>
      <vt:lpstr>Sheet4</vt:lpstr>
      <vt:lpstr>Ques 9</vt:lpstr>
      <vt:lpstr>Sheet2</vt:lpstr>
      <vt:lpstr>Sheet1</vt:lpstr>
      <vt:lpstr>Ques 10</vt:lpstr>
      <vt:lpstr>Data</vt:lpstr>
      <vt:lpstr>Animal</vt:lpstr>
      <vt:lpstr>Food</vt:lpstr>
      <vt:lpstr>months</vt:lpstr>
    </vt:vector>
  </TitlesOfParts>
  <Company>American Express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Dskadmin</dc:creator>
  <cp:lastModifiedBy>Microsoft Office User</cp:lastModifiedBy>
  <dcterms:created xsi:type="dcterms:W3CDTF">2011-09-01T10:14:07Z</dcterms:created>
  <dcterms:modified xsi:type="dcterms:W3CDTF">2022-03-05T08:53:14Z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XPAuthor">
    <vt:lpwstr>Gaurav Wadhwa</vt:lpwstr>
  </property>
  <property fmtid="{D5CDD505-2E9C-101B-9397-08002B2CF9AE}" pid="3" name="AXPDataClassification">
    <vt:lpwstr>AXP Internal</vt:lpwstr>
  </property>
  <property fmtid="{D5CDD505-2E9C-101B-9397-08002B2CF9AE}" pid="4" name="AXPDataClassificationForSearch">
    <vt:lpwstr>AXPInternal_UniqueSearchString</vt:lpwstr>
  </property>
</Properties>
</file>